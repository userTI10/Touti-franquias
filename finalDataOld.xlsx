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touticosmeticsbr-my.sharepoint.com/personal/rubens_pereira_kioskbrands_com/Documents/Arquivos de Chat do Microsoft Teams/"/>
    </mc:Choice>
  </mc:AlternateContent>
  <xr:revisionPtr revIDLastSave="0" documentId="8_{4B633A87-A2BF-441E-BF3C-AD4A067D2E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Sheet1!$A$1:$U$614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2" i="1" l="1"/>
  <c r="U112" i="1"/>
  <c r="U880" i="1"/>
  <c r="R880" i="1"/>
  <c r="U813" i="1"/>
  <c r="R813" i="1"/>
  <c r="T310" i="1"/>
  <c r="U310" i="1"/>
  <c r="T352" i="1"/>
  <c r="U3" i="1"/>
  <c r="U4" i="1"/>
  <c r="U5" i="1"/>
  <c r="U6" i="1"/>
  <c r="U7" i="1"/>
  <c r="U8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5" i="1"/>
  <c r="U36" i="1"/>
  <c r="U37" i="1"/>
  <c r="U38" i="1"/>
  <c r="U39" i="1"/>
  <c r="U40" i="1"/>
  <c r="U41" i="1"/>
  <c r="U42" i="1"/>
  <c r="U43" i="1"/>
  <c r="U45" i="1"/>
  <c r="U46" i="1"/>
  <c r="U47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9" i="1"/>
  <c r="U100" i="1"/>
  <c r="U101" i="1"/>
  <c r="U102" i="1"/>
  <c r="U103" i="1"/>
  <c r="U104" i="1"/>
  <c r="U105" i="1"/>
  <c r="U106" i="1"/>
  <c r="U108" i="1"/>
  <c r="U109" i="1"/>
  <c r="U110" i="1"/>
  <c r="U111" i="1"/>
  <c r="U113" i="1"/>
  <c r="U114" i="1"/>
  <c r="U115" i="1"/>
  <c r="U116" i="1"/>
  <c r="U118" i="1"/>
  <c r="U120" i="1"/>
  <c r="U121" i="1"/>
  <c r="U122" i="1"/>
  <c r="U123" i="1"/>
  <c r="U125" i="1"/>
  <c r="U126" i="1"/>
  <c r="U127" i="1"/>
  <c r="U128" i="1"/>
  <c r="U129" i="1"/>
  <c r="U130" i="1"/>
  <c r="U131" i="1"/>
  <c r="U132" i="1"/>
  <c r="U133" i="1"/>
  <c r="U134" i="1"/>
  <c r="U135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2" i="1"/>
  <c r="U153" i="1"/>
  <c r="U154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4" i="1"/>
  <c r="U215" i="1"/>
  <c r="U216" i="1"/>
  <c r="U217" i="1"/>
  <c r="U218" i="1"/>
  <c r="U219" i="1"/>
  <c r="U220" i="1"/>
  <c r="U221" i="1"/>
  <c r="U222" i="1"/>
  <c r="U224" i="1"/>
  <c r="U225" i="1"/>
  <c r="U226" i="1"/>
  <c r="U227" i="1"/>
  <c r="U228" i="1"/>
  <c r="U229" i="1"/>
  <c r="U230" i="1"/>
  <c r="U231" i="1"/>
  <c r="U232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2" i="1"/>
  <c r="U303" i="1"/>
  <c r="U304" i="1"/>
  <c r="U305" i="1"/>
  <c r="U306" i="1"/>
  <c r="U307" i="1"/>
  <c r="U308" i="1"/>
  <c r="U309" i="1"/>
  <c r="U312" i="1"/>
  <c r="U313" i="1"/>
  <c r="U314" i="1"/>
  <c r="U315" i="1"/>
  <c r="U317" i="1"/>
  <c r="U318" i="1"/>
  <c r="U319" i="1"/>
  <c r="U320" i="1"/>
  <c r="U321" i="1"/>
  <c r="U322" i="1"/>
  <c r="U323" i="1"/>
  <c r="U324" i="1"/>
  <c r="U325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1" i="1"/>
  <c r="U422" i="1"/>
  <c r="U423" i="1"/>
  <c r="U424" i="1"/>
  <c r="U425" i="1"/>
  <c r="U426" i="1"/>
  <c r="U427" i="1"/>
  <c r="U428" i="1"/>
  <c r="U429" i="1"/>
  <c r="U431" i="1"/>
  <c r="U432" i="1"/>
  <c r="U433" i="1"/>
  <c r="U434" i="1"/>
  <c r="U435" i="1"/>
  <c r="U436" i="1"/>
  <c r="U437" i="1"/>
  <c r="U439" i="1"/>
  <c r="U440" i="1"/>
  <c r="U441" i="1"/>
  <c r="U442" i="1"/>
  <c r="U443" i="1"/>
  <c r="U444" i="1"/>
  <c r="U445" i="1"/>
  <c r="U446" i="1"/>
  <c r="U447" i="1"/>
  <c r="U448" i="1"/>
  <c r="U450" i="1"/>
  <c r="U451" i="1"/>
  <c r="U453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8" i="1"/>
  <c r="U469" i="1"/>
  <c r="U470" i="1"/>
  <c r="U471" i="1"/>
  <c r="U472" i="1"/>
  <c r="U473" i="1"/>
  <c r="U474" i="1"/>
  <c r="U476" i="1"/>
  <c r="U477" i="1"/>
  <c r="U478" i="1"/>
  <c r="U480" i="1"/>
  <c r="U481" i="1"/>
  <c r="U482" i="1"/>
  <c r="U483" i="1"/>
  <c r="U484" i="1"/>
  <c r="U485" i="1"/>
  <c r="U486" i="1"/>
  <c r="U487" i="1"/>
  <c r="U489" i="1"/>
  <c r="U490" i="1"/>
  <c r="U492" i="1"/>
  <c r="U493" i="1"/>
  <c r="U495" i="1"/>
  <c r="U496" i="1"/>
  <c r="U497" i="1"/>
  <c r="U498" i="1"/>
  <c r="U499" i="1"/>
  <c r="U500" i="1"/>
  <c r="U501" i="1"/>
  <c r="U502" i="1"/>
  <c r="U503" i="1"/>
  <c r="U504" i="1"/>
  <c r="U505" i="1"/>
  <c r="U507" i="1"/>
  <c r="U508" i="1"/>
  <c r="U509" i="1"/>
  <c r="U510" i="1"/>
  <c r="U511" i="1"/>
  <c r="U512" i="1"/>
  <c r="U513" i="1"/>
  <c r="U515" i="1"/>
  <c r="U516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5" i="1"/>
  <c r="U536" i="1"/>
  <c r="U537" i="1"/>
  <c r="U539" i="1"/>
  <c r="U540" i="1"/>
  <c r="U541" i="1"/>
  <c r="U542" i="1"/>
  <c r="U543" i="1"/>
  <c r="U545" i="1"/>
  <c r="U547" i="1"/>
  <c r="U548" i="1"/>
  <c r="U549" i="1"/>
  <c r="U550" i="1"/>
  <c r="U551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6" i="1"/>
  <c r="U577" i="1"/>
  <c r="U578" i="1"/>
  <c r="U579" i="1"/>
  <c r="U580" i="1"/>
  <c r="U582" i="1"/>
  <c r="U585" i="1"/>
  <c r="U586" i="1"/>
  <c r="U587" i="1"/>
  <c r="U588" i="1"/>
  <c r="U589" i="1"/>
  <c r="U591" i="1"/>
  <c r="U593" i="1"/>
  <c r="U594" i="1"/>
  <c r="U595" i="1"/>
  <c r="T87" i="1"/>
  <c r="T88" i="1"/>
  <c r="T89" i="1"/>
  <c r="T90" i="1"/>
  <c r="T91" i="1"/>
  <c r="T92" i="1"/>
  <c r="T93" i="1"/>
  <c r="T94" i="1"/>
  <c r="T95" i="1"/>
  <c r="T96" i="1"/>
  <c r="T97" i="1"/>
  <c r="T99" i="1"/>
  <c r="T100" i="1"/>
  <c r="T101" i="1"/>
  <c r="T102" i="1"/>
  <c r="T103" i="1"/>
  <c r="T104" i="1"/>
  <c r="T105" i="1"/>
  <c r="T106" i="1"/>
  <c r="T108" i="1"/>
  <c r="T109" i="1"/>
  <c r="T110" i="1"/>
  <c r="T111" i="1"/>
  <c r="T113" i="1"/>
  <c r="T114" i="1"/>
  <c r="T115" i="1"/>
  <c r="T116" i="1"/>
  <c r="T118" i="1"/>
  <c r="T120" i="1"/>
  <c r="T121" i="1"/>
  <c r="T122" i="1"/>
  <c r="T123" i="1"/>
  <c r="T125" i="1"/>
  <c r="T126" i="1"/>
  <c r="T127" i="1"/>
  <c r="T128" i="1"/>
  <c r="T129" i="1"/>
  <c r="T130" i="1"/>
  <c r="T131" i="1"/>
  <c r="T132" i="1"/>
  <c r="T133" i="1"/>
  <c r="T134" i="1"/>
  <c r="T135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2" i="1"/>
  <c r="T153" i="1"/>
  <c r="T154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4" i="1"/>
  <c r="T215" i="1"/>
  <c r="T216" i="1"/>
  <c r="T217" i="1"/>
  <c r="T218" i="1"/>
  <c r="T219" i="1"/>
  <c r="T220" i="1"/>
  <c r="T221" i="1"/>
  <c r="T222" i="1"/>
  <c r="T224" i="1"/>
  <c r="T225" i="1"/>
  <c r="T226" i="1"/>
  <c r="T227" i="1"/>
  <c r="T228" i="1"/>
  <c r="T229" i="1"/>
  <c r="T230" i="1"/>
  <c r="T231" i="1"/>
  <c r="T232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2" i="1"/>
  <c r="T303" i="1"/>
  <c r="T304" i="1"/>
  <c r="T305" i="1"/>
  <c r="T306" i="1"/>
  <c r="T307" i="1"/>
  <c r="T308" i="1"/>
  <c r="T309" i="1"/>
  <c r="T312" i="1"/>
  <c r="T313" i="1"/>
  <c r="T314" i="1"/>
  <c r="T315" i="1"/>
  <c r="T317" i="1"/>
  <c r="T318" i="1"/>
  <c r="T319" i="1"/>
  <c r="T320" i="1"/>
  <c r="T321" i="1"/>
  <c r="T322" i="1"/>
  <c r="T323" i="1"/>
  <c r="T324" i="1"/>
  <c r="T325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3" i="1"/>
  <c r="T354" i="1"/>
  <c r="T355" i="1"/>
  <c r="T356" i="1"/>
  <c r="T357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1" i="1"/>
  <c r="T422" i="1"/>
  <c r="T423" i="1"/>
  <c r="T424" i="1"/>
  <c r="T425" i="1"/>
  <c r="T426" i="1"/>
  <c r="T427" i="1"/>
  <c r="T428" i="1"/>
  <c r="T429" i="1"/>
  <c r="T431" i="1"/>
  <c r="T432" i="1"/>
  <c r="T433" i="1"/>
  <c r="T434" i="1"/>
  <c r="T435" i="1"/>
  <c r="T436" i="1"/>
  <c r="T437" i="1"/>
  <c r="T439" i="1"/>
  <c r="T440" i="1"/>
  <c r="T441" i="1"/>
  <c r="T442" i="1"/>
  <c r="T443" i="1"/>
  <c r="T444" i="1"/>
  <c r="T445" i="1"/>
  <c r="T446" i="1"/>
  <c r="T447" i="1"/>
  <c r="T448" i="1"/>
  <c r="T450" i="1"/>
  <c r="T451" i="1"/>
  <c r="T453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8" i="1"/>
  <c r="T469" i="1"/>
  <c r="T470" i="1"/>
  <c r="T471" i="1"/>
  <c r="T472" i="1"/>
  <c r="T473" i="1"/>
  <c r="T474" i="1"/>
  <c r="T476" i="1"/>
  <c r="T477" i="1"/>
  <c r="T478" i="1"/>
  <c r="T480" i="1"/>
  <c r="T481" i="1"/>
  <c r="T482" i="1"/>
  <c r="T483" i="1"/>
  <c r="T484" i="1"/>
  <c r="T485" i="1"/>
  <c r="T486" i="1"/>
  <c r="T487" i="1"/>
  <c r="T489" i="1"/>
  <c r="T490" i="1"/>
  <c r="T492" i="1"/>
  <c r="T493" i="1"/>
  <c r="T495" i="1"/>
  <c r="T496" i="1"/>
  <c r="T497" i="1"/>
  <c r="T498" i="1"/>
  <c r="T499" i="1"/>
  <c r="T500" i="1"/>
  <c r="T501" i="1"/>
  <c r="T502" i="1"/>
  <c r="T503" i="1"/>
  <c r="T504" i="1"/>
  <c r="T505" i="1"/>
  <c r="T507" i="1"/>
  <c r="T508" i="1"/>
  <c r="T509" i="1"/>
  <c r="T510" i="1"/>
  <c r="T511" i="1"/>
  <c r="T512" i="1"/>
  <c r="T513" i="1"/>
  <c r="T515" i="1"/>
  <c r="T516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5" i="1"/>
  <c r="T536" i="1"/>
  <c r="T537" i="1"/>
  <c r="T539" i="1"/>
  <c r="T540" i="1"/>
  <c r="T541" i="1"/>
  <c r="T542" i="1"/>
  <c r="T543" i="1"/>
  <c r="T545" i="1"/>
  <c r="T547" i="1"/>
  <c r="T548" i="1"/>
  <c r="T549" i="1"/>
  <c r="T550" i="1"/>
  <c r="T551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6" i="1"/>
  <c r="T577" i="1"/>
  <c r="T578" i="1"/>
  <c r="T579" i="1"/>
  <c r="T580" i="1"/>
  <c r="T582" i="1"/>
  <c r="T585" i="1"/>
  <c r="T586" i="1"/>
  <c r="T587" i="1"/>
  <c r="T588" i="1"/>
  <c r="T589" i="1"/>
  <c r="T591" i="1"/>
  <c r="T593" i="1"/>
  <c r="T594" i="1"/>
  <c r="T595" i="1"/>
  <c r="T86" i="1"/>
  <c r="T85" i="1"/>
  <c r="T84" i="1"/>
  <c r="T83" i="1"/>
  <c r="T82" i="1"/>
  <c r="T81" i="1"/>
  <c r="T79" i="1"/>
  <c r="T78" i="1"/>
  <c r="T77" i="1"/>
  <c r="T76" i="1"/>
  <c r="T75" i="1"/>
  <c r="T74" i="1"/>
  <c r="T73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42" i="1"/>
  <c r="T43" i="1"/>
  <c r="T45" i="1"/>
  <c r="T46" i="1"/>
  <c r="T47" i="1"/>
  <c r="T49" i="1"/>
  <c r="T50" i="1"/>
  <c r="T51" i="1"/>
  <c r="T52" i="1"/>
  <c r="T53" i="1"/>
  <c r="T54" i="1"/>
  <c r="T55" i="1"/>
  <c r="T56" i="1"/>
  <c r="T25" i="1"/>
  <c r="T26" i="1"/>
  <c r="T27" i="1"/>
  <c r="T28" i="1"/>
  <c r="T29" i="1"/>
  <c r="T30" i="1"/>
  <c r="T31" i="1"/>
  <c r="T32" i="1"/>
  <c r="T33" i="1"/>
  <c r="T35" i="1"/>
  <c r="T36" i="1"/>
  <c r="T37" i="1"/>
  <c r="T38" i="1"/>
  <c r="T39" i="1"/>
  <c r="T40" i="1"/>
  <c r="T41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3" i="1"/>
  <c r="T4" i="1"/>
  <c r="T5" i="1"/>
  <c r="T6" i="1"/>
  <c r="T7" i="1"/>
  <c r="T8" i="1"/>
</calcChain>
</file>

<file path=xl/sharedStrings.xml><?xml version="1.0" encoding="utf-8"?>
<sst xmlns="http://schemas.openxmlformats.org/spreadsheetml/2006/main" count="9857" uniqueCount="5434">
  <si>
    <t>NOME FANTASIA</t>
  </si>
  <si>
    <t>RAZÃO SOCIAL*</t>
  </si>
  <si>
    <t>CNPJ *</t>
  </si>
  <si>
    <t>DDD *</t>
  </si>
  <si>
    <t>TELEFONE *</t>
  </si>
  <si>
    <t>EMAIL</t>
  </si>
  <si>
    <t>LOGRADOURO</t>
  </si>
  <si>
    <t>NÚMERO</t>
  </si>
  <si>
    <t>COMPLEMENTO</t>
  </si>
  <si>
    <t>CEP</t>
  </si>
  <si>
    <t>BAIRRO</t>
  </si>
  <si>
    <t>CIDADE</t>
  </si>
  <si>
    <t>UF</t>
  </si>
  <si>
    <t>EANS</t>
  </si>
  <si>
    <t>INSTAGRAM</t>
  </si>
  <si>
    <t>CEPOK</t>
  </si>
  <si>
    <t>latitude</t>
  </si>
  <si>
    <t>longitude</t>
  </si>
  <si>
    <t>status</t>
  </si>
  <si>
    <t>LAT</t>
  </si>
  <si>
    <t>LONG</t>
  </si>
  <si>
    <t xml:space="preserve">QUIOSQUE SHOP RECIFE                                        </t>
  </si>
  <si>
    <t xml:space="preserve">ALESSANDRO DOS S GOMES PERFUMES         </t>
  </si>
  <si>
    <t>0800 887 0592</t>
  </si>
  <si>
    <t xml:space="preserve">anaaires.touti@outlook.com                                                                                </t>
  </si>
  <si>
    <t>Rua Padre Carapuceiro</t>
  </si>
  <si>
    <t>-</t>
  </si>
  <si>
    <t>Boa Viagem</t>
  </si>
  <si>
    <t>Recife</t>
  </si>
  <si>
    <t>PE</t>
  </si>
  <si>
    <t>51020280</t>
  </si>
  <si>
    <t>-8.1183886</t>
  </si>
  <si>
    <t>-34.8990260</t>
  </si>
  <si>
    <t>Sucesso (BrasilAPI)</t>
  </si>
  <si>
    <t xml:space="preserve">TOUTI OURICURI                                              </t>
  </si>
  <si>
    <t xml:space="preserve">MAYARA MILENA BERNARDO COSTA </t>
  </si>
  <si>
    <t xml:space="preserve">gugacoelhoouricuri@gmail.com                                                                                                                          </t>
  </si>
  <si>
    <t xml:space="preserve">PC VOLUNTARIOS DA PATRIA
</t>
  </si>
  <si>
    <t xml:space="preserve"> A</t>
  </si>
  <si>
    <t>Centro</t>
  </si>
  <si>
    <t>Ouricuri</t>
  </si>
  <si>
    <t>56200000</t>
  </si>
  <si>
    <t>-7.8844320</t>
  </si>
  <si>
    <t>-40.0833221</t>
  </si>
  <si>
    <t xml:space="preserve">SMART CENTRO SE                                             </t>
  </si>
  <si>
    <t xml:space="preserve">SELMA DOS SANTOS CALIXTO                </t>
  </si>
  <si>
    <t xml:space="preserve">sel.calixto@hotmail.com                                                                                                                               </t>
  </si>
  <si>
    <t>Rua João Pessoa</t>
  </si>
  <si>
    <t>Aracaju</t>
  </si>
  <si>
    <t>SE</t>
  </si>
  <si>
    <t>49010130</t>
  </si>
  <si>
    <t>-10.9110732</t>
  </si>
  <si>
    <t>-37.0491948</t>
  </si>
  <si>
    <t xml:space="preserve">SMART PETROLINA                                             </t>
  </si>
  <si>
    <t xml:space="preserve">AMANDA MISSILLENY BERNARDO COSTA        </t>
  </si>
  <si>
    <t xml:space="preserve">amandambernardoc@hotmail.com                                                                                                                          </t>
  </si>
  <si>
    <t>Avenida Souza Filho</t>
  </si>
  <si>
    <t>De 498/499 Ao Fim</t>
  </si>
  <si>
    <t>Petrolina</t>
  </si>
  <si>
    <t>56304000</t>
  </si>
  <si>
    <t>-9.3948871</t>
  </si>
  <si>
    <t>-40.5024380</t>
  </si>
  <si>
    <t xml:space="preserve">DUQUE DE CAXIAS                                             </t>
  </si>
  <si>
    <t xml:space="preserve">34.220.869 AILMA ALVES DOS SANTOS       </t>
  </si>
  <si>
    <t xml:space="preserve">aasantos0203@gmail.com                                                          </t>
  </si>
  <si>
    <t>Rua José De Alvarenga</t>
  </si>
  <si>
    <t>Quiosq</t>
  </si>
  <si>
    <t>Duque De Caxias</t>
  </si>
  <si>
    <t>RJ</t>
  </si>
  <si>
    <t>25010-060</t>
  </si>
  <si>
    <t>Sucesso (OpenCage por endereço)</t>
  </si>
  <si>
    <t xml:space="preserve">CAMPO LIMPO                                                 </t>
  </si>
  <si>
    <t xml:space="preserve">MMMJ COMERCIO DE COSMETICOS EIRELI      </t>
  </si>
  <si>
    <t xml:space="preserve">administrativo@toutisp.com.br                                                               </t>
  </si>
  <si>
    <t>Estrada Do Campo Limpo</t>
  </si>
  <si>
    <t>Quadra 140A;Lote 42;Sala L</t>
  </si>
  <si>
    <t>Pirajussara</t>
  </si>
  <si>
    <t>São Paulo</t>
  </si>
  <si>
    <t>SP</t>
  </si>
  <si>
    <t>5777970</t>
  </si>
  <si>
    <t xml:space="preserve">SMART ITABUNA                                               </t>
  </si>
  <si>
    <t xml:space="preserve">EULALIA DE CASSIA SILVA SOUZA           </t>
  </si>
  <si>
    <t xml:space="preserve">laila.cassia@icloud.com                                                                                                                               </t>
  </si>
  <si>
    <t>Pc Professor Olinto Leone</t>
  </si>
  <si>
    <t>Quiosq01</t>
  </si>
  <si>
    <t>Itabuna</t>
  </si>
  <si>
    <t>BA</t>
  </si>
  <si>
    <t>45600015</t>
  </si>
  <si>
    <t>-14.7895929</t>
  </si>
  <si>
    <t>-39.2733724</t>
  </si>
  <si>
    <t xml:space="preserve">SMART CICERO DANTAS                                         </t>
  </si>
  <si>
    <t xml:space="preserve">JOSE DENISON SANTANA FIGUEIREDO         </t>
  </si>
  <si>
    <t xml:space="preserve">denison.fig@gmail.com                                                                                                                                 </t>
  </si>
  <si>
    <t>Av Nossa Senhora Do Bom Conselho</t>
  </si>
  <si>
    <t>Cícero Dantas</t>
  </si>
  <si>
    <t>48410000</t>
  </si>
  <si>
    <t>-10.5932265</t>
  </si>
  <si>
    <t>-38.3834411</t>
  </si>
  <si>
    <t xml:space="preserve">SMART BRASIL ATACADISTA SC                                  </t>
  </si>
  <si>
    <t xml:space="preserve">VICENTE HECTOR CACERES 84632143553      </t>
  </si>
  <si>
    <t xml:space="preserve">rosangelazandavalli@hotmail.com                                                                                          </t>
  </si>
  <si>
    <t>Rodovia Armando Calil Bulos</t>
  </si>
  <si>
    <t>Sala</t>
  </si>
  <si>
    <t>Ingleses Do Rio Vermelho</t>
  </si>
  <si>
    <t>Florianópolis</t>
  </si>
  <si>
    <t>SC</t>
  </si>
  <si>
    <t>88058001</t>
  </si>
  <si>
    <t>-27.4510315</t>
  </si>
  <si>
    <t>-48.4409659</t>
  </si>
  <si>
    <t xml:space="preserve">SMART ITAGUAI                                               </t>
  </si>
  <si>
    <t xml:space="preserve">BENIVANIA GOMES DE FARIAS 05353864433   </t>
  </si>
  <si>
    <t xml:space="preserve">benivania.ulbra@gmail.com                                                                                                                             </t>
  </si>
  <si>
    <t>Rua General Bocaiúva</t>
  </si>
  <si>
    <t>Itaguaí</t>
  </si>
  <si>
    <t>23815310</t>
  </si>
  <si>
    <t>-22.8666358</t>
  </si>
  <si>
    <t>-43.7772378</t>
  </si>
  <si>
    <t xml:space="preserve">SHOP. GUARARAPES                                            </t>
  </si>
  <si>
    <t xml:space="preserve">J AIRES DE MELO PERFUMES                </t>
  </si>
  <si>
    <t xml:space="preserve">anaaires.touti@outlook.com                                                                                    </t>
  </si>
  <si>
    <t>Avenida Barreto De Menezes</t>
  </si>
  <si>
    <t>Piedade</t>
  </si>
  <si>
    <t>Jaboatão Dos Guararapes</t>
  </si>
  <si>
    <t>54410100</t>
  </si>
  <si>
    <t>-8.1636324</t>
  </si>
  <si>
    <t xml:space="preserve">SHOP PREMIO                                                 </t>
  </si>
  <si>
    <t xml:space="preserve">ANA AIRES PERFUMES LTDA                 </t>
  </si>
  <si>
    <t xml:space="preserve">anaaires.touti@outlook.com                                                                                 </t>
  </si>
  <si>
    <t>Nossa Senhora Do Socorro</t>
  </si>
  <si>
    <t>S/N</t>
  </si>
  <si>
    <t>Loja 221</t>
  </si>
  <si>
    <t>Conjunto Marcos Freire I</t>
  </si>
  <si>
    <t>49160000</t>
  </si>
  <si>
    <t xml:space="preserve">JARDINS                                                     </t>
  </si>
  <si>
    <t xml:space="preserve">alessandro.touti@outlook.pt                                                                                                </t>
  </si>
  <si>
    <t>Avenida Ministro Geraldo Barreto Sobral</t>
  </si>
  <si>
    <t>Quiosqq 14 Touti Comercio</t>
  </si>
  <si>
    <t>Jardins</t>
  </si>
  <si>
    <t>49026900</t>
  </si>
  <si>
    <t>-10.9415241</t>
  </si>
  <si>
    <t>-37.0597580</t>
  </si>
  <si>
    <t xml:space="preserve">SHOPPING PATIO 1                                            </t>
  </si>
  <si>
    <t xml:space="preserve">PEC PATIO COMERCIO DE COSMETICOS LTDA   </t>
  </si>
  <si>
    <t xml:space="preserve">pecsadm@gmail.com                                                                                                                                     </t>
  </si>
  <si>
    <t>Avenida Menino Marcelo, Lado Ímpar</t>
  </si>
  <si>
    <t>Cidade Universitária</t>
  </si>
  <si>
    <t>Maceió</t>
  </si>
  <si>
    <t>AL</t>
  </si>
  <si>
    <t>57073470</t>
  </si>
  <si>
    <t>-9.5653853</t>
  </si>
  <si>
    <t>-35.7761216</t>
  </si>
  <si>
    <t xml:space="preserve">SMART ASSAI IMBIRIBEIRA                                     </t>
  </si>
  <si>
    <t xml:space="preserve">SYLVANA REGO GUEDES GOMES PINTO         </t>
  </si>
  <si>
    <t xml:space="preserve">sylvana.guedes@gmail.com                                                                                                                              </t>
  </si>
  <si>
    <t>R Do Cupim</t>
  </si>
  <si>
    <t>Quiosqa</t>
  </si>
  <si>
    <t>Gracas</t>
  </si>
  <si>
    <t>52011070</t>
  </si>
  <si>
    <t>-8.0466349</t>
  </si>
  <si>
    <t>-34.8979978</t>
  </si>
  <si>
    <t xml:space="preserve">SHOPPING MACEIÓ 2                                           </t>
  </si>
  <si>
    <t xml:space="preserve">PEC MACEIO COMERCIO DE COSMETICOS LTDA  </t>
  </si>
  <si>
    <t>Avenida Comendador Gustavo Paiva</t>
  </si>
  <si>
    <t>Cxpst 265</t>
  </si>
  <si>
    <t>Mangabeiras</t>
  </si>
  <si>
    <t>57031-530</t>
  </si>
  <si>
    <t xml:space="preserve">SMART ASSAI JUAZEIRO BA                                     </t>
  </si>
  <si>
    <t xml:space="preserve">PAULO GUILHERME DINIZ DO NASCIMENTO     </t>
  </si>
  <si>
    <t>Travessa Benjamin Constant</t>
  </si>
  <si>
    <t>149C</t>
  </si>
  <si>
    <t>Loja Q 100</t>
  </si>
  <si>
    <t>Juazeiro</t>
  </si>
  <si>
    <t>48903485</t>
  </si>
  <si>
    <t>-9.4137251</t>
  </si>
  <si>
    <t>-40.5029699</t>
  </si>
  <si>
    <t xml:space="preserve">PAULISTA                                                    </t>
  </si>
  <si>
    <t>POPS COMERCIO DE COSMETICOS E CONSULTORI</t>
  </si>
  <si>
    <t xml:space="preserve">fatura.gruposb@gmail.com                                                                       </t>
  </si>
  <si>
    <t>Rodovia Pe-15, Do Km 16,060 Ao Km 17,000 - Lado Par</t>
  </si>
  <si>
    <t>Paulista</t>
  </si>
  <si>
    <t>53401445</t>
  </si>
  <si>
    <t xml:space="preserve">CAMPINA GRANDE                                              </t>
  </si>
  <si>
    <t xml:space="preserve">SERGIO AUGUSTO MORAES DO REGO BARROS    </t>
  </si>
  <si>
    <t xml:space="preserve">supervisora.touti@gmail.com                         </t>
  </si>
  <si>
    <t>Avenida Prefeito Severino Bezerra Cabral</t>
  </si>
  <si>
    <t>Catolé</t>
  </si>
  <si>
    <t>Campina Grande</t>
  </si>
  <si>
    <t>PB</t>
  </si>
  <si>
    <t>58410185</t>
  </si>
  <si>
    <t>-7.2316660</t>
  </si>
  <si>
    <t>-35.8713921</t>
  </si>
  <si>
    <t xml:space="preserve">TAMBIA SHOP                                                 </t>
  </si>
  <si>
    <t xml:space="preserve">TAMBIA SHOP COMERCIO DE COSMETICOS LTDA </t>
  </si>
  <si>
    <t xml:space="preserve">sandraelainneaaf@gmail.com                                                             </t>
  </si>
  <si>
    <t>Avenida Deputado Odon Bezerra</t>
  </si>
  <si>
    <t>Quiosq10 - Piso Hotacilio</t>
  </si>
  <si>
    <t>Roger</t>
  </si>
  <si>
    <t>João Pessoa</t>
  </si>
  <si>
    <t>58020500</t>
  </si>
  <si>
    <t>-7.1157312</t>
  </si>
  <si>
    <t>-34.8767553</t>
  </si>
  <si>
    <t xml:space="preserve">SMART ASSAI PAULO AFONSO                                    </t>
  </si>
  <si>
    <t xml:space="preserve">ANA DA SILVA MENEZES DE SOUZA           </t>
  </si>
  <si>
    <t xml:space="preserve">mivi.modafeminina@hotmail.com                                                                                                                         </t>
  </si>
  <si>
    <t>R Rio Branco</t>
  </si>
  <si>
    <t>Quiosqqa010</t>
  </si>
  <si>
    <t>Jardim Bahia</t>
  </si>
  <si>
    <t>Paulo Afonso</t>
  </si>
  <si>
    <t>48604-005</t>
  </si>
  <si>
    <t xml:space="preserve">SMART ASSAI JARDIM RN                                       </t>
  </si>
  <si>
    <t xml:space="preserve">VICTOR HUGO GOMES PEDROSO EIRELI        </t>
  </si>
  <si>
    <t xml:space="preserve">victor.pedroso.fmn@gmail.com                                                                                      </t>
  </si>
  <si>
    <t>Rua Luís Jerônimo Bezerra</t>
  </si>
  <si>
    <t>Emaús</t>
  </si>
  <si>
    <t>Parnamirim</t>
  </si>
  <si>
    <t>RN</t>
  </si>
  <si>
    <t>59148340</t>
  </si>
  <si>
    <t>-5.8927682</t>
  </si>
  <si>
    <t>-35.2339711</t>
  </si>
  <si>
    <t xml:space="preserve">SMART ASSAI CASTANHAL                                       </t>
  </si>
  <si>
    <t xml:space="preserve">JOSE CAMARA DA COSTA 02149407485        </t>
  </si>
  <si>
    <t xml:space="preserve">touticg@gmail.com                                                                                                             </t>
  </si>
  <si>
    <t>Avenida Presidente Getúlio Vargas, De 3098/3099 Ao Fim</t>
  </si>
  <si>
    <t>Jaderlândia</t>
  </si>
  <si>
    <t>Castanhal</t>
  </si>
  <si>
    <t>PA</t>
  </si>
  <si>
    <t>68745000</t>
  </si>
  <si>
    <t>-1.2964599</t>
  </si>
  <si>
    <t>-47.9229684</t>
  </si>
  <si>
    <t xml:space="preserve">SMART TACARUNA                                              </t>
  </si>
  <si>
    <t xml:space="preserve">ELC COMERCIO VAREJISTA DE COSMETICOS    </t>
  </si>
  <si>
    <t xml:space="preserve">ramospatricia037@gmail.com                                                                                                 </t>
  </si>
  <si>
    <t>Avenida Governador Agamenon Magalhães</t>
  </si>
  <si>
    <t>Santo Amaro</t>
  </si>
  <si>
    <t>50070-160</t>
  </si>
  <si>
    <t xml:space="preserve">SMART MARIA LUIZA                                           </t>
  </si>
  <si>
    <t xml:space="preserve">JURANDI DUARTE DA SILVA                 </t>
  </si>
  <si>
    <t xml:space="preserve">joselaine_pds@yahoo.com.br                                                                                                                            </t>
  </si>
  <si>
    <t>Rua Intendente Freire</t>
  </si>
  <si>
    <t>Quiosq 020</t>
  </si>
  <si>
    <t>Feira De Santana</t>
  </si>
  <si>
    <t>44002000</t>
  </si>
  <si>
    <t>-12.2573388</t>
  </si>
  <si>
    <t>-38.9641684</t>
  </si>
  <si>
    <t xml:space="preserve">BONSUCESSO                                                  </t>
  </si>
  <si>
    <t xml:space="preserve">JJLN COMERCIO DE COSMETICOS EIRELI      </t>
  </si>
  <si>
    <t xml:space="preserve">administrativo@toutisp.com.br                                                                                   </t>
  </si>
  <si>
    <t>Estrada Presidente Juscelino Kubitschek De Oliveira</t>
  </si>
  <si>
    <t>Jardim Albertina</t>
  </si>
  <si>
    <t>Guarulhos</t>
  </si>
  <si>
    <t>07243-580</t>
  </si>
  <si>
    <t xml:space="preserve">MINI FULL SHOP MACAPA                                       </t>
  </si>
  <si>
    <t xml:space="preserve">ANA PAULA AMORIM VEIROS                 </t>
  </si>
  <si>
    <t xml:space="preserve">apveiros@gmail.com                                                                                                                                    </t>
  </si>
  <si>
    <t>Avenida Presidente Getúlio Vargas</t>
  </si>
  <si>
    <t>Central</t>
  </si>
  <si>
    <t>Macapá</t>
  </si>
  <si>
    <t>AP</t>
  </si>
  <si>
    <t>68900070</t>
  </si>
  <si>
    <t>0.0384522</t>
  </si>
  <si>
    <t>-51.0630850</t>
  </si>
  <si>
    <t xml:space="preserve">SMART ASSAI GARANHUNS                                       </t>
  </si>
  <si>
    <t xml:space="preserve">TOUTI COSMETICS GARANHUNS LTDA          </t>
  </si>
  <si>
    <t xml:space="preserve">ronaldobelisario@hotmail.com                                                                                                                          </t>
  </si>
  <si>
    <t>Av Prefeito Luiz Souto Dourado</t>
  </si>
  <si>
    <t>Heliópolis</t>
  </si>
  <si>
    <t>Garanhuns</t>
  </si>
  <si>
    <t>55297-010</t>
  </si>
  <si>
    <t xml:space="preserve">SMART ASSAI ARACAJU                                         </t>
  </si>
  <si>
    <t>Rua Simeão Aguiar</t>
  </si>
  <si>
    <t>Quiosq 01</t>
  </si>
  <si>
    <t>José Conrado De Araújo</t>
  </si>
  <si>
    <t>49085410</t>
  </si>
  <si>
    <t>-10.9069910</t>
  </si>
  <si>
    <t>-37.0867817</t>
  </si>
  <si>
    <t xml:space="preserve">PATIO NORTE SAO LUIS                                        </t>
  </si>
  <si>
    <t xml:space="preserve">JOCENIRA DAS GRACAS BORGES 32507828315  </t>
  </si>
  <si>
    <t xml:space="preserve">carlab.sampaio@gmail.com                                    </t>
  </si>
  <si>
    <t>Est De Sao Jose De Ribamar Ma-201 Km 05</t>
  </si>
  <si>
    <t>Saramanta</t>
  </si>
  <si>
    <t>São José De Ribamar</t>
  </si>
  <si>
    <t>MA</t>
  </si>
  <si>
    <t>65110000</t>
  </si>
  <si>
    <t>Erro: OpenCage não retornou</t>
  </si>
  <si>
    <t xml:space="preserve">SMART DIA DIA MOSSORO                                       </t>
  </si>
  <si>
    <t xml:space="preserve">touticg@gmail.com                                                                                              </t>
  </si>
  <si>
    <t>Casa</t>
  </si>
  <si>
    <t xml:space="preserve">SMART SANTA CRUZ DO CAPIBARIBE                              </t>
  </si>
  <si>
    <t>MARCO AURELIO DA SILVA CUNHA 78484693449</t>
  </si>
  <si>
    <t xml:space="preserve">joseronaldopjr@gmail.com                                                                                                                              </t>
  </si>
  <si>
    <t>Santa Cruz</t>
  </si>
  <si>
    <t>SN</t>
  </si>
  <si>
    <t>Bela Vista</t>
  </si>
  <si>
    <t>56215000</t>
  </si>
  <si>
    <t xml:space="preserve">SMART CABO                                                  </t>
  </si>
  <si>
    <t xml:space="preserve">MARCIA MARIA LOPES 83305173491          </t>
  </si>
  <si>
    <t xml:space="preserve">marcialopes0501@gmail.com                                                                                                                             </t>
  </si>
  <si>
    <t>4ª Travessa Santo Aleixo</t>
  </si>
  <si>
    <t>Santo Aleixo</t>
  </si>
  <si>
    <t>54140-260</t>
  </si>
  <si>
    <t xml:space="preserve">SMART ASSAI PALMAS                                          </t>
  </si>
  <si>
    <t>MARCIA APARECIDA DA SILVA PEDROSO 504063</t>
  </si>
  <si>
    <t xml:space="preserve">touticg@gmail.com                                                                                                                                     </t>
  </si>
  <si>
    <t>Parauapebas</t>
  </si>
  <si>
    <t>sn</t>
  </si>
  <si>
    <t>Loja</t>
  </si>
  <si>
    <t>Alvora</t>
  </si>
  <si>
    <t>68515000</t>
  </si>
  <si>
    <t xml:space="preserve">SMART ASSAI SANTA CRUZ                                      </t>
  </si>
  <si>
    <t>PAULO ROBERTO MORENO DE JESUS 3397388171</t>
  </si>
  <si>
    <t xml:space="preserve">mario_moreno_rj@hotmail.com                                                                                                                           </t>
  </si>
  <si>
    <t>Rua Felipe Cardoso</t>
  </si>
  <si>
    <t>Km 61 6 Lote Zona De Servicos 1A</t>
  </si>
  <si>
    <t>Rio De Janeiro</t>
  </si>
  <si>
    <t>23510006</t>
  </si>
  <si>
    <t>-22.9187820</t>
  </si>
  <si>
    <t>-43.6825374</t>
  </si>
  <si>
    <t xml:space="preserve">MINI FULL CONQUISTA SUL                                     </t>
  </si>
  <si>
    <t xml:space="preserve">MATEUS CARVALHO DE ALMEIDA              </t>
  </si>
  <si>
    <t xml:space="preserve">mateusnutri13@gmail.com                                                                                                                               </t>
  </si>
  <si>
    <t>Avenida Juracy Magalhães</t>
  </si>
  <si>
    <t>Box 35</t>
  </si>
  <si>
    <t>Felícia</t>
  </si>
  <si>
    <t>Vitória Da Conquista</t>
  </si>
  <si>
    <t>45055900</t>
  </si>
  <si>
    <t>-14.9045084</t>
  </si>
  <si>
    <t>-40.8444382</t>
  </si>
  <si>
    <t xml:space="preserve">PARTAGE SHOP MOSSORÓ                                        </t>
  </si>
  <si>
    <t xml:space="preserve">TOUTI MOSSORO COMERCIO DE COSMETICOS    </t>
  </si>
  <si>
    <t xml:space="preserve">sandraelainneaaf@gmail.com                                                  </t>
  </si>
  <si>
    <t>Avenida João Da Escóssia</t>
  </si>
  <si>
    <t>Quiosq 005</t>
  </si>
  <si>
    <t>Nova Betânia</t>
  </si>
  <si>
    <t>Mossoró</t>
  </si>
  <si>
    <t>59607330</t>
  </si>
  <si>
    <t>-5.1743744</t>
  </si>
  <si>
    <t>-37.3712409</t>
  </si>
  <si>
    <t xml:space="preserve">SMART BECO DO CAFE                                          </t>
  </si>
  <si>
    <t xml:space="preserve">CYNTHIA NOGUEIRA BULHOES PERFUMARIA     </t>
  </si>
  <si>
    <t xml:space="preserve">cynthianogueirab@hotmail.com                                                                                                                          </t>
  </si>
  <si>
    <t>Rua Leonel Leite</t>
  </si>
  <si>
    <t>Loja 24 Bloco B</t>
  </si>
  <si>
    <t>Alecrim</t>
  </si>
  <si>
    <t>Natal</t>
  </si>
  <si>
    <t>59037820</t>
  </si>
  <si>
    <t>-5.7966771</t>
  </si>
  <si>
    <t>-35.2191101</t>
  </si>
  <si>
    <t xml:space="preserve">SMART SHOP CARIRI                                           </t>
  </si>
  <si>
    <t xml:space="preserve">FRANCISCO DA FRANCA LIMA-MERCADINHO     </t>
  </si>
  <si>
    <t xml:space="preserve">touticariri@gmail.com                                                                                                                                 </t>
  </si>
  <si>
    <t>Rua Santa Luzia</t>
  </si>
  <si>
    <t>Quiosq105B</t>
  </si>
  <si>
    <t>São Miguel</t>
  </si>
  <si>
    <t>Juazeiro Do Norte</t>
  </si>
  <si>
    <t>CE</t>
  </si>
  <si>
    <t>63010459</t>
  </si>
  <si>
    <t>-7.2048904</t>
  </si>
  <si>
    <t>-39.3160047</t>
  </si>
  <si>
    <t xml:space="preserve">SMART SHOP PEIXINHOS MADUREIRA                              </t>
  </si>
  <si>
    <t xml:space="preserve">JOEL FERREIRA SOARES 16680290732        </t>
  </si>
  <si>
    <t xml:space="preserve">toutipeixinhos@gmail.com                                                                                                                              </t>
  </si>
  <si>
    <t>R Conde De Rezende</t>
  </si>
  <si>
    <t>Bento Ribeiro</t>
  </si>
  <si>
    <t>21555150</t>
  </si>
  <si>
    <t xml:space="preserve">LOJA SHOP TOCANTINS                                         </t>
  </si>
  <si>
    <t xml:space="preserve">E A BANDEIRA                            </t>
  </si>
  <si>
    <t xml:space="preserve">representacoesrhb@gmail.com                                                                                                                           </t>
  </si>
  <si>
    <t>Rua Bahia</t>
  </si>
  <si>
    <t>Imperatriz</t>
  </si>
  <si>
    <t>65903350</t>
  </si>
  <si>
    <t>-5.5156865</t>
  </si>
  <si>
    <t>-47.4799870</t>
  </si>
  <si>
    <t xml:space="preserve">SMART SUPER CONTERRANEO                                     </t>
  </si>
  <si>
    <t xml:space="preserve">EMANUELLE SOUZA DA SILVA 06475145408    </t>
  </si>
  <si>
    <t xml:space="preserve">emanuelle.souza.silva87@gmail.com                                                                                         </t>
  </si>
  <si>
    <t>R. Januário Filizola</t>
  </si>
  <si>
    <t>Itambé</t>
  </si>
  <si>
    <t>53180220</t>
  </si>
  <si>
    <t xml:space="preserve">SMART PANVICON CENTER                                       </t>
  </si>
  <si>
    <t>CARVALHO DE ALMEIDA EMPREENDIMENTOS LTDA</t>
  </si>
  <si>
    <t>Avenida Lauro De Freitas</t>
  </si>
  <si>
    <t>45000230</t>
  </si>
  <si>
    <t>-14.8520143</t>
  </si>
  <si>
    <t>-40.8411273</t>
  </si>
  <si>
    <t xml:space="preserve">SMART ASSAI PICOS                                           </t>
  </si>
  <si>
    <t xml:space="preserve">VICTOR HUGO GOMES PEDROSO LTDA          </t>
  </si>
  <si>
    <t xml:space="preserve">touticeara@gmail.com                                                                                                        </t>
  </si>
  <si>
    <t>Rua Fernando Pires Leal</t>
  </si>
  <si>
    <t>Quiosque 07</t>
  </si>
  <si>
    <t>São João</t>
  </si>
  <si>
    <t>Teresina</t>
  </si>
  <si>
    <t>PI</t>
  </si>
  <si>
    <t>64046-640</t>
  </si>
  <si>
    <t xml:space="preserve">SMART  R CARVALHO                                           </t>
  </si>
  <si>
    <t xml:space="preserve">touticg@gmail.com                                                                                                       </t>
  </si>
  <si>
    <t xml:space="preserve">SMART MERCADÃO CARVALHO                                     </t>
  </si>
  <si>
    <t xml:space="preserve">touticg@gmail.com                                                                      </t>
  </si>
  <si>
    <t xml:space="preserve">SMART ASSAI TERESINA                                        </t>
  </si>
  <si>
    <t xml:space="preserve">touticeara@gmail.com                                                                                    </t>
  </si>
  <si>
    <t xml:space="preserve">BETIM                                                       </t>
  </si>
  <si>
    <t xml:space="preserve">P F FARIAS BEZERRA                      </t>
  </si>
  <si>
    <t xml:space="preserve">supervisora.touti@gmail.com                                                               </t>
  </si>
  <si>
    <t>Rodovia Br-381 Fernão Dias</t>
  </si>
  <si>
    <t>Betim</t>
  </si>
  <si>
    <t>MG</t>
  </si>
  <si>
    <t>32655-505</t>
  </si>
  <si>
    <t xml:space="preserve">SHOP TIETE                                                  </t>
  </si>
  <si>
    <t xml:space="preserve">administrativo@toutisp.com.br                                                                    </t>
  </si>
  <si>
    <t>Av Raimundo Pereira De Magalhaes</t>
  </si>
  <si>
    <t>Km 492.601 Andar L1 Quiosqq08</t>
  </si>
  <si>
    <t>Jardim Iris</t>
  </si>
  <si>
    <t>Sao Paulo</t>
  </si>
  <si>
    <t>5145907</t>
  </si>
  <si>
    <t xml:space="preserve">SHOP LIGHT                                                  </t>
  </si>
  <si>
    <t xml:space="preserve">administrativo@toutisp.com.br                                                                     </t>
  </si>
  <si>
    <t>R Cel Xavier De Toledo</t>
  </si>
  <si>
    <t>Quiosqq103</t>
  </si>
  <si>
    <t>1048900</t>
  </si>
  <si>
    <t xml:space="preserve">TATUAPE                                                     </t>
  </si>
  <si>
    <t>administrativo@toutisp.com.br</t>
  </si>
  <si>
    <t>R Domingos Agostim</t>
  </si>
  <si>
    <t>Andar 1 Quiosqqn08</t>
  </si>
  <si>
    <t>Cidade Mae Do Ceu</t>
  </si>
  <si>
    <t>03306900</t>
  </si>
  <si>
    <t xml:space="preserve">SMART ASSAI ITAPETINGA                                      </t>
  </si>
  <si>
    <t xml:space="preserve">J. DE OLIVEIRA SILVA ALIMENTOS          </t>
  </si>
  <si>
    <t xml:space="preserve">oliveirajones438@gmail.com                                                                                                                            </t>
  </si>
  <si>
    <t>Itapetinga</t>
  </si>
  <si>
    <t>Quiosqqte 22</t>
  </si>
  <si>
    <t>45700000</t>
  </si>
  <si>
    <t>-15.2454478</t>
  </si>
  <si>
    <t>-40.2460053</t>
  </si>
  <si>
    <t xml:space="preserve">VIA SUL SHOPPING                                            </t>
  </si>
  <si>
    <t xml:space="preserve">LUCIMARA GOMES DA COSTA PEDROSO LTDA    </t>
  </si>
  <si>
    <t xml:space="preserve">touticeara@gmail.com                                                                                                                                  </t>
  </si>
  <si>
    <t>Avenida Washington Soares</t>
  </si>
  <si>
    <t>Edson Queiroz</t>
  </si>
  <si>
    <t>Fortaleza</t>
  </si>
  <si>
    <t>60810-300</t>
  </si>
  <si>
    <t xml:space="preserve">SMART JEREMOABO                                             </t>
  </si>
  <si>
    <t xml:space="preserve">HAVILA SABRINA DA SILVA RODRIGUES 09554 </t>
  </si>
  <si>
    <t xml:space="preserve">paulajosefasilva@gmail.com                                                                                                                            </t>
  </si>
  <si>
    <t>Jeremoabo</t>
  </si>
  <si>
    <t>48540-000</t>
  </si>
  <si>
    <t xml:space="preserve">SMART CENTRO FASHION                                        </t>
  </si>
  <si>
    <t xml:space="preserve">ALISSON GONDIM FERREIRA 05999232376     </t>
  </si>
  <si>
    <t xml:space="preserve">alissongondim1992@gmail.com                                                                                                                           </t>
  </si>
  <si>
    <t>Avenida Filomeno Gomes</t>
  </si>
  <si>
    <t>Andar 1</t>
  </si>
  <si>
    <t>Jacarecanga</t>
  </si>
  <si>
    <t>60010280</t>
  </si>
  <si>
    <t>-3.7203182</t>
  </si>
  <si>
    <t>-38.5414107</t>
  </si>
  <si>
    <t xml:space="preserve">SMART MARABA                                                </t>
  </si>
  <si>
    <t xml:space="preserve">IZAEL DA SILVA CARVALHO 72434449204     </t>
  </si>
  <si>
    <t xml:space="preserve">izaelcarvalho123@gmail.com                                                                        </t>
  </si>
  <si>
    <t>Rua Quinze</t>
  </si>
  <si>
    <t>Morada Nova</t>
  </si>
  <si>
    <t>Morada Nova (Marabá)</t>
  </si>
  <si>
    <t>68514300</t>
  </si>
  <si>
    <t xml:space="preserve">SMART ASSAI CID FUNCIONARIOS                                </t>
  </si>
  <si>
    <t xml:space="preserve">V H G PEDROSO LTDA - ME                 </t>
  </si>
  <si>
    <t xml:space="preserve">toutifortaleza@gmail.com                                                                                           </t>
  </si>
  <si>
    <t>Avenida Frei Cirilo</t>
  </si>
  <si>
    <t>Lote 53 Quadra49</t>
  </si>
  <si>
    <t>Messejana</t>
  </si>
  <si>
    <t>60840285</t>
  </si>
  <si>
    <t>-3.8196177</t>
  </si>
  <si>
    <t>-38.4963629</t>
  </si>
  <si>
    <t xml:space="preserve">FULL SHOP RIO POTY                                          </t>
  </si>
  <si>
    <t>ANA CRISTINA CARVALHO DA SILVA 035085593</t>
  </si>
  <si>
    <t xml:space="preserve">cezarpmiranda1985@hotmail.com                                                                                                                         </t>
  </si>
  <si>
    <t>Av Raul Lopes</t>
  </si>
  <si>
    <t>Box Q 11 Touti</t>
  </si>
  <si>
    <t>Noivos</t>
  </si>
  <si>
    <t>64046902</t>
  </si>
  <si>
    <t>-5.0847235</t>
  </si>
  <si>
    <t>-42.7900370</t>
  </si>
  <si>
    <t xml:space="preserve">SP MARKET                                                   </t>
  </si>
  <si>
    <t xml:space="preserve">administrativo@toutisp.com.br                                                                               </t>
  </si>
  <si>
    <t>Av Das Nacoes Unidas</t>
  </si>
  <si>
    <t>Quiosqmik741</t>
  </si>
  <si>
    <t>Vila Almeida</t>
  </si>
  <si>
    <t>4795921</t>
  </si>
  <si>
    <t xml:space="preserve">RIVER PETROLINA                                             </t>
  </si>
  <si>
    <t>Avenida Monsenhor Ângelo Sampaio 100</t>
  </si>
  <si>
    <t>1º Piso Qt15</t>
  </si>
  <si>
    <t>56330-301</t>
  </si>
  <si>
    <t xml:space="preserve">SMART ANA ROSA                                              </t>
  </si>
  <si>
    <t xml:space="preserve">milena@toutisp.com.br                                                            </t>
  </si>
  <si>
    <t>Rua Vergueiro</t>
  </si>
  <si>
    <t>Vila Mariana</t>
  </si>
  <si>
    <t>04101-300</t>
  </si>
  <si>
    <t xml:space="preserve">SMART CABROBO                                               </t>
  </si>
  <si>
    <t xml:space="preserve">ADRIELLY FERREIRA DE LIMA 06922001427   </t>
  </si>
  <si>
    <t xml:space="preserve">adriellygpm@hotmail.com                                                                                                                               </t>
  </si>
  <si>
    <t>Cabrobó</t>
  </si>
  <si>
    <t>Quiosque Touti</t>
  </si>
  <si>
    <t>56180000</t>
  </si>
  <si>
    <t>-8.5083701</t>
  </si>
  <si>
    <t>-39.3106961</t>
  </si>
  <si>
    <t xml:space="preserve">SMART ITABAIANINHA                                          </t>
  </si>
  <si>
    <t xml:space="preserve">MAURICIO DOS SANTOS ALVES-07453462517   </t>
  </si>
  <si>
    <t xml:space="preserve">kaikelegal@gmail.com                                                                                                                                  </t>
  </si>
  <si>
    <t>1A R Elisio Silveira Carvalho</t>
  </si>
  <si>
    <t>Itabaianinha</t>
  </si>
  <si>
    <t>49290000</t>
  </si>
  <si>
    <t xml:space="preserve">SMART MATEUS COHAMA                                         </t>
  </si>
  <si>
    <t>RAPHAEL MIRANDA PLINIO OLIVEIRA 60572107</t>
  </si>
  <si>
    <t>Rua Quatro</t>
  </si>
  <si>
    <t>Planalto Anil I</t>
  </si>
  <si>
    <t>São Luís</t>
  </si>
  <si>
    <t>65051-872</t>
  </si>
  <si>
    <t xml:space="preserve">SHOPPING 10 ALECRIM                                         </t>
  </si>
  <si>
    <t xml:space="preserve">TOUTI COMERCIO DE PERFUMARIA LTDA       </t>
  </si>
  <si>
    <t xml:space="preserve">SMART METRO CENTRAL                                         </t>
  </si>
  <si>
    <t xml:space="preserve">PERFUMARIA CARIOCA M&amp;B LTDA             </t>
  </si>
  <si>
    <t xml:space="preserve">miihmont@gmail.com                                                                                                                                    </t>
  </si>
  <si>
    <t>Estação Metrô Central Do Brasil Pc Cristiano Otoni</t>
  </si>
  <si>
    <t>20221250</t>
  </si>
  <si>
    <t>-22.9037860</t>
  </si>
  <si>
    <t>-43.1905669</t>
  </si>
  <si>
    <t xml:space="preserve">SMART SUPERMERCADO MEGA DOCE PREÇO                          </t>
  </si>
  <si>
    <t xml:space="preserve">ANDERSON NONATO SILVA SOUZA 02881114512 </t>
  </si>
  <si>
    <t xml:space="preserve">toutisaj@gmail.com                                                                                                                                    </t>
  </si>
  <si>
    <t>Avenida Carlos Amaral</t>
  </si>
  <si>
    <t>Quiosqq 20</t>
  </si>
  <si>
    <t>Cajueiro</t>
  </si>
  <si>
    <t>Santo Antônio De Jesus</t>
  </si>
  <si>
    <t>44430622</t>
  </si>
  <si>
    <t xml:space="preserve">SMART SANTA MARIA                                           </t>
  </si>
  <si>
    <t xml:space="preserve">VALEN COM DE COSMETICOS LTDA            </t>
  </si>
  <si>
    <t xml:space="preserve">valenloja01@gmail.com                                                                                                                                 </t>
  </si>
  <si>
    <t>Calçada Salvador Isaia</t>
  </si>
  <si>
    <t>Santa Maria</t>
  </si>
  <si>
    <t>RS</t>
  </si>
  <si>
    <t>97015015</t>
  </si>
  <si>
    <t>-29.6866230</t>
  </si>
  <si>
    <t>-53.8082995</t>
  </si>
  <si>
    <t xml:space="preserve">RIOMAR RECIFE                                               </t>
  </si>
  <si>
    <t>Avenida República Do Líbano</t>
  </si>
  <si>
    <t>Loja 01</t>
  </si>
  <si>
    <t>Pina</t>
  </si>
  <si>
    <t>51110160</t>
  </si>
  <si>
    <t>-8.0869199</t>
  </si>
  <si>
    <t>-34.8910955</t>
  </si>
  <si>
    <t xml:space="preserve">SMART R CARVALHO CAXIAS                                     </t>
  </si>
  <si>
    <t xml:space="preserve">toutiboletos@yahoo.com                                                                                                              </t>
  </si>
  <si>
    <t xml:space="preserve">SMART PATTEO                                                </t>
  </si>
  <si>
    <t xml:space="preserve">MARIA BEATRIZ DO REGO BARROS FERREIRA   </t>
  </si>
  <si>
    <t xml:space="preserve">otavioslcarneiro@gmail.com                                                                                        </t>
  </si>
  <si>
    <t>Avenida Governador Carlos De Lima Cavalcante</t>
  </si>
  <si>
    <t>Casa Caiada</t>
  </si>
  <si>
    <t>Olinda</t>
  </si>
  <si>
    <t>53130515</t>
  </si>
  <si>
    <t>-7.9836289</t>
  </si>
  <si>
    <t>-34.8381428</t>
  </si>
  <si>
    <t xml:space="preserve">LOJA SANTA MARIA                                            </t>
  </si>
  <si>
    <t>PAULO GUILHERME PEREIRA DINIZ DO NASCIME</t>
  </si>
  <si>
    <t>Santa Maria Da Boa Vista</t>
  </si>
  <si>
    <t>56380000</t>
  </si>
  <si>
    <t>-8.8001615</t>
  </si>
  <si>
    <t>-39.8271099</t>
  </si>
  <si>
    <t xml:space="preserve">SMART SUPER CODO                                            </t>
  </si>
  <si>
    <t xml:space="preserve">HUDSON DE SOUSA BASTOS                  </t>
  </si>
  <si>
    <t xml:space="preserve">hudsonbastosdm@hotmail.com                                                                                                                            </t>
  </si>
  <si>
    <t>Alameda João Câncio Sampaio</t>
  </si>
  <si>
    <t>Santa Lídia</t>
  </si>
  <si>
    <t>68745480</t>
  </si>
  <si>
    <t>-1.3041445</t>
  </si>
  <si>
    <t>-47.9154384</t>
  </si>
  <si>
    <t xml:space="preserve">SMART CIDADE ATACADAO                                       </t>
  </si>
  <si>
    <t xml:space="preserve">TOUTI PERFUMARIA LTDA                   </t>
  </si>
  <si>
    <t>Av Doutor Mario Negocio</t>
  </si>
  <si>
    <t>Vale Do Sol</t>
  </si>
  <si>
    <t>59143000</t>
  </si>
  <si>
    <t>-5.9297960</t>
  </si>
  <si>
    <t>-35.2778052</t>
  </si>
  <si>
    <t xml:space="preserve">SHOPPING RIO TAPAJOS                                        </t>
  </si>
  <si>
    <t xml:space="preserve">S LIMA DA SILVA COMERCIO DE PERFUMES    </t>
  </si>
  <si>
    <t xml:space="preserve">samuelsilva1920@hotmail.com                                                                                                                           </t>
  </si>
  <si>
    <t>Avenida Engenheiro Fernando Guilhon</t>
  </si>
  <si>
    <t>Santarenzinho</t>
  </si>
  <si>
    <t>Santarém</t>
  </si>
  <si>
    <t>68035000</t>
  </si>
  <si>
    <t>-2.4467840</t>
  </si>
  <si>
    <t>-54.7489493</t>
  </si>
  <si>
    <t xml:space="preserve">SMART MIX PETROLINA                                         </t>
  </si>
  <si>
    <t xml:space="preserve">TOUTI PERFUMES E COSMETICOS LTDA        </t>
  </si>
  <si>
    <t>Avenida Dr. Ulysses Guimaraes</t>
  </si>
  <si>
    <t>Quiosq19 Perfumes Touti Rio Tapajos Shopping</t>
  </si>
  <si>
    <t>Jardim Amazonas</t>
  </si>
  <si>
    <t>56318525</t>
  </si>
  <si>
    <t>-9.3785580</t>
  </si>
  <si>
    <t>-40.5345343</t>
  </si>
  <si>
    <t xml:space="preserve">SMART MIX JUAZEIRO                                          </t>
  </si>
  <si>
    <t xml:space="preserve">TOUTI COSMETICOS E PERFUMES LTDA        </t>
  </si>
  <si>
    <t>Avenida Epitácio Pessoa</t>
  </si>
  <si>
    <t>Alto Da Aliança</t>
  </si>
  <si>
    <t>48907-218</t>
  </si>
  <si>
    <t xml:space="preserve">SMART EL CAMINO COLINAS                                     </t>
  </si>
  <si>
    <t>Av Rua Presidente Vargas</t>
  </si>
  <si>
    <t>Chapadinha</t>
  </si>
  <si>
    <t>65500000</t>
  </si>
  <si>
    <t>-3.7416803</t>
  </si>
  <si>
    <t>-43.3548006</t>
  </si>
  <si>
    <t xml:space="preserve">MIX MATEUS BABACULANDIA                                     </t>
  </si>
  <si>
    <t>23.559.398 NAARA HENRIQUE SILVA BANDEIRA</t>
  </si>
  <si>
    <t>Rua Imperatriz</t>
  </si>
  <si>
    <t>Vila Cafeteira</t>
  </si>
  <si>
    <t>65911525</t>
  </si>
  <si>
    <t>-5.4884200</t>
  </si>
  <si>
    <t>-47.4608410</t>
  </si>
  <si>
    <t xml:space="preserve">SMART METRO TAMANDUATEI                                     </t>
  </si>
  <si>
    <t xml:space="preserve">milena@toutisp.com.br                                                           </t>
  </si>
  <si>
    <t>Av. Presidente Wilson</t>
  </si>
  <si>
    <t>Estação Metrô Tamanduateí</t>
  </si>
  <si>
    <t>8220030</t>
  </si>
  <si>
    <t xml:space="preserve">SMART PENEDO                                                </t>
  </si>
  <si>
    <t xml:space="preserve">DAIANA FARIAS DOS SANTOS 06887165473    </t>
  </si>
  <si>
    <t xml:space="preserve">daiana.penedoal@gmail.com                                                                                                                             </t>
  </si>
  <si>
    <t>Cjre Monte Rei</t>
  </si>
  <si>
    <t>Box Touti L08</t>
  </si>
  <si>
    <t>Dom Constantino</t>
  </si>
  <si>
    <t>Penedo</t>
  </si>
  <si>
    <t>57200000</t>
  </si>
  <si>
    <t xml:space="preserve">RIOMAR ARACAJU                                              </t>
  </si>
  <si>
    <t xml:space="preserve">ALESSANDRO GOMES PERFUMES TOUTI LTDA    </t>
  </si>
  <si>
    <t xml:space="preserve">alessandro.touti@outlook.pt                                                                                      </t>
  </si>
  <si>
    <t>Avenida Luiz Lua Gonzaga</t>
  </si>
  <si>
    <t>Coroa Do Meio</t>
  </si>
  <si>
    <t>49035500</t>
  </si>
  <si>
    <t xml:space="preserve">LOJA SHOP CENTER RIO                                        </t>
  </si>
  <si>
    <t xml:space="preserve">TOUTI VIP CENTER RJ LTDA                </t>
  </si>
  <si>
    <t xml:space="preserve">toutiviprj@outlook.com                                                                                                                                </t>
  </si>
  <si>
    <t>Avenida Geremário Dantas</t>
  </si>
  <si>
    <t>Tanque</t>
  </si>
  <si>
    <t>22735015</t>
  </si>
  <si>
    <t>-22.9172515</t>
  </si>
  <si>
    <t>-43.3613675</t>
  </si>
  <si>
    <t xml:space="preserve">SMART SHOP NEBLINA ARAGUAINA                                </t>
  </si>
  <si>
    <t xml:space="preserve">ANTOLIANO VANDRE PARENTE DE ALENCAR     </t>
  </si>
  <si>
    <t xml:space="preserve">toutiaraguaina@hotmail.com                                                                                                                            </t>
  </si>
  <si>
    <t>Rua Florêncio Machado</t>
  </si>
  <si>
    <t>Loteamento Jardim América</t>
  </si>
  <si>
    <t>Araguaína</t>
  </si>
  <si>
    <t>TO</t>
  </si>
  <si>
    <t>77805209</t>
  </si>
  <si>
    <t>-7.1985820</t>
  </si>
  <si>
    <t>-48.2159572</t>
  </si>
  <si>
    <t xml:space="preserve">SMART METRO JD OCEÂNICO                                     </t>
  </si>
  <si>
    <t xml:space="preserve">PERFUMARIA NO TRILHO M&amp;B LTDA           </t>
  </si>
  <si>
    <t>Avenida Armando Lombardi, Lado Ímpar</t>
  </si>
  <si>
    <t>Bloco 10 Apartamento 403</t>
  </si>
  <si>
    <t>Barra Da Tijuca</t>
  </si>
  <si>
    <t>22640020</t>
  </si>
  <si>
    <t>-23.0071312</t>
  </si>
  <si>
    <t>-43.3069668</t>
  </si>
  <si>
    <t xml:space="preserve">SMART VITORIA PARK SHOPPING                                 </t>
  </si>
  <si>
    <t>FILIPE HUBERT DE MELO OLIVEIRA 119744464</t>
  </si>
  <si>
    <t xml:space="preserve">filipehubert9@gmail.com                                                                                                                               </t>
  </si>
  <si>
    <t>Rua Melo Verçosa</t>
  </si>
  <si>
    <t>Matriz</t>
  </si>
  <si>
    <t>Vitória De Santo Antão</t>
  </si>
  <si>
    <t>55602020</t>
  </si>
  <si>
    <t>-8.1160391</t>
  </si>
  <si>
    <t>-35.2945132</t>
  </si>
  <si>
    <t xml:space="preserve">SMART D'AVÓ HIPER ORATÓRIO                                  </t>
  </si>
  <si>
    <t xml:space="preserve">RODRIGO DE SOUZA SANTOS 23520938804     </t>
  </si>
  <si>
    <t xml:space="preserve">ssantosrodrigoo@gmail.com                                                                                                 </t>
  </si>
  <si>
    <t>Avenida Do Oratório</t>
  </si>
  <si>
    <t>Jardim Guairaca</t>
  </si>
  <si>
    <t>3220200</t>
  </si>
  <si>
    <t xml:space="preserve">SHOPPING VENTURA                                            </t>
  </si>
  <si>
    <t xml:space="preserve">G. DE OLIVEIRA SILVA LTDA               </t>
  </si>
  <si>
    <t xml:space="preserve">toutipalladium@gmail.com                                                                                       </t>
  </si>
  <si>
    <t>Rua Itacolomi</t>
  </si>
  <si>
    <t>Portão</t>
  </si>
  <si>
    <t>Curitiba</t>
  </si>
  <si>
    <t>PR</t>
  </si>
  <si>
    <t>81070150</t>
  </si>
  <si>
    <t>-25.4794535</t>
  </si>
  <si>
    <t>-49.3027210</t>
  </si>
  <si>
    <t xml:space="preserve">SMART BIG BARUERI                                           </t>
  </si>
  <si>
    <t xml:space="preserve">MICHEL REINO DE SANTIS 34343637859      </t>
  </si>
  <si>
    <t xml:space="preserve">michel.desantis@gmail.com                                                                                                                             </t>
  </si>
  <si>
    <t>Al Araguaia</t>
  </si>
  <si>
    <t>Quiosqq-112</t>
  </si>
  <si>
    <t>Alphaville Industrial</t>
  </si>
  <si>
    <t>Barueri</t>
  </si>
  <si>
    <t>6455000</t>
  </si>
  <si>
    <t xml:space="preserve">SMART GBARBOSA TOBIAS BARRETO                               </t>
  </si>
  <si>
    <t>Casa Escritorio Ter</t>
  </si>
  <si>
    <t xml:space="preserve">SMART ASSAÍ SÃO MIGUEL                                      </t>
  </si>
  <si>
    <t xml:space="preserve">milena@toutisp.com.br                                                         </t>
  </si>
  <si>
    <t>Avenida São Miguel</t>
  </si>
  <si>
    <t>Quiosqqte22</t>
  </si>
  <si>
    <t>Vila Norma</t>
  </si>
  <si>
    <t>8420092</t>
  </si>
  <si>
    <t xml:space="preserve">SMART CARREFOUR LIMAO                                       </t>
  </si>
  <si>
    <t xml:space="preserve">MAX LIMA DA SILVA PAULA 33661420810     </t>
  </si>
  <si>
    <t xml:space="preserve">touti.mx@gmail.com                                                                                                                                    </t>
  </si>
  <si>
    <t>Rua Dom José Marcondes</t>
  </si>
  <si>
    <t>Brasilândia</t>
  </si>
  <si>
    <t>2863090</t>
  </si>
  <si>
    <t xml:space="preserve">MAUA PLAZA SHOPPING                                         </t>
  </si>
  <si>
    <t xml:space="preserve">milena@toutisp.com.br                                                       </t>
  </si>
  <si>
    <t>Avenida Governador Mário Covas Júnior (Vl F N Morelli)</t>
  </si>
  <si>
    <t>Apt 136</t>
  </si>
  <si>
    <t>Mauá</t>
  </si>
  <si>
    <t>9390040</t>
  </si>
  <si>
    <t xml:space="preserve">SHOPPING RAPOSO                                             </t>
  </si>
  <si>
    <t xml:space="preserve">milena@toutisp.com.br                                                        </t>
  </si>
  <si>
    <t>Vila Raposo Tavares</t>
  </si>
  <si>
    <t>Quiosqq23</t>
  </si>
  <si>
    <t>Jd Boa Vista</t>
  </si>
  <si>
    <t xml:space="preserve">ARAGUAIA SHOPPING                                           </t>
  </si>
  <si>
    <t>ARAGUAIA COMERCIO DE PERFUMES E COSMETIC</t>
  </si>
  <si>
    <t xml:space="preserve">samara.santos@touticosmetics.com.br                                                                                                                   </t>
  </si>
  <si>
    <t>Rua 44</t>
  </si>
  <si>
    <t>Quiosqs13 Touti</t>
  </si>
  <si>
    <t>Setor Central</t>
  </si>
  <si>
    <t>Goiânia</t>
  </si>
  <si>
    <t>GO</t>
  </si>
  <si>
    <t>74001-970</t>
  </si>
  <si>
    <t xml:space="preserve">PORTAL SHOPPING                                             </t>
  </si>
  <si>
    <t>CAPUAVA COMERCIO DE PERFUMES E COSMETICO</t>
  </si>
  <si>
    <t>Av Anhanguera</t>
  </si>
  <si>
    <t>Quiosqq111 Touti</t>
  </si>
  <si>
    <t>Bro Capuava</t>
  </si>
  <si>
    <t>74450010</t>
  </si>
  <si>
    <t>-16.6620438</t>
  </si>
  <si>
    <t>-49.3235433</t>
  </si>
  <si>
    <t xml:space="preserve">SMART VILLA NOVA SHOPPING                                   </t>
  </si>
  <si>
    <t xml:space="preserve">MIRANEY MONCAO DOS SANTOS 95179755204   </t>
  </si>
  <si>
    <t xml:space="preserve">miramoncao801@gmail.com                                                                                                                               </t>
  </si>
  <si>
    <t>Quiosque Qe 14</t>
  </si>
  <si>
    <t xml:space="preserve">SHOPPING ESTACAO BH                                         </t>
  </si>
  <si>
    <t>UNIQUE COMERCIO DE PERFUMES E COSMETICOS</t>
  </si>
  <si>
    <t>Avenida Cristiano Machado</t>
  </si>
  <si>
    <t>Vila Cloris</t>
  </si>
  <si>
    <t>Belo Horizonte</t>
  </si>
  <si>
    <t>31744007</t>
  </si>
  <si>
    <t xml:space="preserve">SHOPPING PATIO BRASIL                                       </t>
  </si>
  <si>
    <t xml:space="preserve">CONIC COMERCIO DE PERFUMES E COSMETICOS </t>
  </si>
  <si>
    <t>Setor Comercial Sul Quadra</t>
  </si>
  <si>
    <t>Qd 102/104</t>
  </si>
  <si>
    <t>Asa Sul</t>
  </si>
  <si>
    <t>Brasília</t>
  </si>
  <si>
    <t>DF</t>
  </si>
  <si>
    <t>70333-900</t>
  </si>
  <si>
    <t xml:space="preserve">SALVADOR SHOPPING                                           </t>
  </si>
  <si>
    <t>Avenida Tancredo Neves, Lado Ímpar</t>
  </si>
  <si>
    <t>Quiosqquiosqq308</t>
  </si>
  <si>
    <t>Caminho Das Árvores</t>
  </si>
  <si>
    <t>Salvador</t>
  </si>
  <si>
    <t>41820021</t>
  </si>
  <si>
    <t>-12.9809961</t>
  </si>
  <si>
    <t>-38.4651783</t>
  </si>
  <si>
    <t xml:space="preserve">SALVADOR NORTE SHOPPING                                     </t>
  </si>
  <si>
    <t xml:space="preserve">LUCIMARA GOMES DA COSTA PEDROSO LTD     </t>
  </si>
  <si>
    <t>Rodovia Ba-526</t>
  </si>
  <si>
    <t>São Cristóvão</t>
  </si>
  <si>
    <t>41510000</t>
  </si>
  <si>
    <t xml:space="preserve">SHOPPING METROPOLE                                          </t>
  </si>
  <si>
    <t xml:space="preserve">administrativo@toutisp.com.br                                                                        </t>
  </si>
  <si>
    <t>Pc Samuel Sabatini</t>
  </si>
  <si>
    <t>Sao Bernardo Do Campo</t>
  </si>
  <si>
    <t>9750902</t>
  </si>
  <si>
    <t xml:space="preserve">SMART ARCOVERDE                                             </t>
  </si>
  <si>
    <t>Avenida Coronel Antônio Japiassu</t>
  </si>
  <si>
    <t>Quiosqmik-717</t>
  </si>
  <si>
    <t>Arcoverde</t>
  </si>
  <si>
    <t>56506100</t>
  </si>
  <si>
    <t>-8.4195852</t>
  </si>
  <si>
    <t>-37.0533833</t>
  </si>
  <si>
    <t xml:space="preserve">SHOPPING BELA VISTA                                         </t>
  </si>
  <si>
    <t xml:space="preserve">MAIRA YASMIN SILVA PEDROSO LTDA         </t>
  </si>
  <si>
    <t>Alameda Euvaldo Luz</t>
  </si>
  <si>
    <t>Horto Bela Vista</t>
  </si>
  <si>
    <t>41098020</t>
  </si>
  <si>
    <t>-12.9689357</t>
  </si>
  <si>
    <t>-38.4726206</t>
  </si>
  <si>
    <t xml:space="preserve">CENTRO MACAUBAS                                             </t>
  </si>
  <si>
    <t>UBIRANILSON COSTA DE OLIVEIRA 8842948241</t>
  </si>
  <si>
    <t xml:space="preserve">nevestacio3@gmail.com                                                                                                                                 </t>
  </si>
  <si>
    <t>Rua Cláudia Botelho</t>
  </si>
  <si>
    <t>Quiosque 16 L1</t>
  </si>
  <si>
    <t>Candeias</t>
  </si>
  <si>
    <t>45028190</t>
  </si>
  <si>
    <t xml:space="preserve">SHOPPING CENTERVALE                                         </t>
  </si>
  <si>
    <t xml:space="preserve">administrativo@toutisp.com.br                                                              </t>
  </si>
  <si>
    <t>Av. Benedito Matarazzo</t>
  </si>
  <si>
    <t>Jardim Oswaldo Cruz</t>
  </si>
  <si>
    <t>Sao Jose Dos Campos</t>
  </si>
  <si>
    <t>12216-780</t>
  </si>
  <si>
    <t xml:space="preserve">PARTAGE NATAL                                               </t>
  </si>
  <si>
    <t xml:space="preserve">TOUTI PERFUMARIA E COSMETICOS LTDA      </t>
  </si>
  <si>
    <t>Avenida Doutor Joao Medeiros Filho</t>
  </si>
  <si>
    <t>Potengi</t>
  </si>
  <si>
    <t>59108-500</t>
  </si>
  <si>
    <t xml:space="preserve">SHOPPING TAUBATE                                            </t>
  </si>
  <si>
    <t xml:space="preserve">milena@toutisp.com.br                                                      </t>
  </si>
  <si>
    <t>Avenida Charles Schnneider</t>
  </si>
  <si>
    <t>Parque Senhor Do Bonfim</t>
  </si>
  <si>
    <t>Taubaté</t>
  </si>
  <si>
    <t>12040000</t>
  </si>
  <si>
    <t xml:space="preserve">PATIO DIVINOPOLIS                                           </t>
  </si>
  <si>
    <t xml:space="preserve">ISAIAS VIEIRA DOS SANTOS LTDA           </t>
  </si>
  <si>
    <t xml:space="preserve">toutidivinopolis@gmail.com                                                                                                                            </t>
  </si>
  <si>
    <t>Rua Rio De Janeiro</t>
  </si>
  <si>
    <t>Quiosq134</t>
  </si>
  <si>
    <t>Divinópolis</t>
  </si>
  <si>
    <t>35500009</t>
  </si>
  <si>
    <t>-20.1421130</t>
  </si>
  <si>
    <t>-44.8907592</t>
  </si>
  <si>
    <t xml:space="preserve">ITAQUERA III                                                </t>
  </si>
  <si>
    <t xml:space="preserve">administrativo@toutisp.com.br                                                                   </t>
  </si>
  <si>
    <t>Av Jose Pinheiro Borges</t>
  </si>
  <si>
    <t>Quiosq116</t>
  </si>
  <si>
    <t>Jardim Helena</t>
  </si>
  <si>
    <t xml:space="preserve">SMART MIX SANTA INES                                        </t>
  </si>
  <si>
    <t xml:space="preserve">SEREJO MESQUITA COMERCIO LTDA           </t>
  </si>
  <si>
    <t xml:space="preserve">mesquita.serejo.associados@gmail.com                                                                                                                  </t>
  </si>
  <si>
    <t>Rua Doutor Urbano Santos</t>
  </si>
  <si>
    <t>Vitória Do Mearim</t>
  </si>
  <si>
    <t>65350000</t>
  </si>
  <si>
    <t xml:space="preserve">SMART GALERIA VARANDAO                                      </t>
  </si>
  <si>
    <t>JOAO CAETANO DE ANDRADE NETO 00702422592</t>
  </si>
  <si>
    <t xml:space="preserve">caetano.neto1982@gmail.com                                                                                                                            </t>
  </si>
  <si>
    <t>Rio Real</t>
  </si>
  <si>
    <t>Porto Feliz</t>
  </si>
  <si>
    <t>48330000</t>
  </si>
  <si>
    <t xml:space="preserve">SMART  MATEUS BARCARENA                                     </t>
  </si>
  <si>
    <t xml:space="preserve">SMART MIX MATEUS CASTANHAL                                  </t>
  </si>
  <si>
    <t xml:space="preserve">SMART  MATEUS PARAGOMINAS                                   </t>
  </si>
  <si>
    <t xml:space="preserve">MAIS SHOPPING                                               </t>
  </si>
  <si>
    <t xml:space="preserve">administrativo@toutisp.com.br                                                                                         </t>
  </si>
  <si>
    <t>Rua Amador Bueno</t>
  </si>
  <si>
    <t>Loj 103 Quiosque 07 Piso 01</t>
  </si>
  <si>
    <t>04752-005</t>
  </si>
  <si>
    <t xml:space="preserve">SHOPPING PIEDADE                                            </t>
  </si>
  <si>
    <t xml:space="preserve">ALUSKA GOMES DA COSTA LTDA              </t>
  </si>
  <si>
    <t>Rua Conselheiro Junqueira Ayres</t>
  </si>
  <si>
    <t>Barris</t>
  </si>
  <si>
    <t>40070080</t>
  </si>
  <si>
    <t>-12.9843168</t>
  </si>
  <si>
    <t>-38.5131907</t>
  </si>
  <si>
    <t xml:space="preserve">SHOPPING CAMACARI                                           </t>
  </si>
  <si>
    <t>AGC COMERCIO DE PERFUMES E COSMETICOS LT</t>
  </si>
  <si>
    <t>Avenida Camassarys</t>
  </si>
  <si>
    <t>Edif Shopping Piedade Quiosqtouti</t>
  </si>
  <si>
    <t>Industrial</t>
  </si>
  <si>
    <t>Camaçari</t>
  </si>
  <si>
    <t>42800343</t>
  </si>
  <si>
    <t xml:space="preserve">SHOPPING LAPA BAHIA                                         </t>
  </si>
  <si>
    <t xml:space="preserve">touticeara@gmail.com                                                                                               </t>
  </si>
  <si>
    <t xml:space="preserve">SMART GALERIA GUSTAVO                                       </t>
  </si>
  <si>
    <t xml:space="preserve">T C DA SILVA QUEIROZ                    </t>
  </si>
  <si>
    <t xml:space="preserve">teresaanakaroline@gmail.com                                                                                                                           </t>
  </si>
  <si>
    <t>Avenida Carlos Roberto Costa</t>
  </si>
  <si>
    <t>Areias Ii</t>
  </si>
  <si>
    <t>Iguatu</t>
  </si>
  <si>
    <t>63508120</t>
  </si>
  <si>
    <t>-6.3479290</t>
  </si>
  <si>
    <t>-39.3066907</t>
  </si>
  <si>
    <t xml:space="preserve">SHOPPING CARUARU                                            </t>
  </si>
  <si>
    <t>ELG COMERCIO VAREJISTA DE COSMETICOS LTD</t>
  </si>
  <si>
    <t xml:space="preserve">ramospatricia037@gmail.com                                                                                                                            </t>
  </si>
  <si>
    <t>Rua Adjar Da Silva Casé</t>
  </si>
  <si>
    <t>Quiosqq0103</t>
  </si>
  <si>
    <t>Indianópolis</t>
  </si>
  <si>
    <t>Caruaru</t>
  </si>
  <si>
    <t>55024740</t>
  </si>
  <si>
    <t>-8.2924485</t>
  </si>
  <si>
    <t>-35.9554133</t>
  </si>
  <si>
    <t xml:space="preserve">SMART GOIANA CENTRO                                         </t>
  </si>
  <si>
    <t xml:space="preserve">V NUTRI SUPLEMENTOS NUTRICIONAIS LTDA   </t>
  </si>
  <si>
    <t xml:space="preserve">maycondouglasmrr@gmail.com                                                                                                                            </t>
  </si>
  <si>
    <t>Rua Silvino Macedo</t>
  </si>
  <si>
    <t>Goiana</t>
  </si>
  <si>
    <t>55900000</t>
  </si>
  <si>
    <t>-7.5606030</t>
  </si>
  <si>
    <t>-34.9959100</t>
  </si>
  <si>
    <t xml:space="preserve">SHOPPING MARABA 02                                          </t>
  </si>
  <si>
    <t>Quadra Quinze</t>
  </si>
  <si>
    <t>Nova Marabá</t>
  </si>
  <si>
    <t>Marabá</t>
  </si>
  <si>
    <t>68507445</t>
  </si>
  <si>
    <t xml:space="preserve">LOJA TOUTI MIDWAY                                           </t>
  </si>
  <si>
    <t xml:space="preserve">TOUTI PERFUMARIA E COSMETICOS 3 LTDA    </t>
  </si>
  <si>
    <t>Midway Shopping Center Ltda, Avenida Bernardo Vieira</t>
  </si>
  <si>
    <t>Quadraqu044A</t>
  </si>
  <si>
    <t>Tirol</t>
  </si>
  <si>
    <t>59015900</t>
  </si>
  <si>
    <t xml:space="preserve">SHOPPING CIDADE                                             </t>
  </si>
  <si>
    <t xml:space="preserve">toutipalladium@gmail.com                                                                                           </t>
  </si>
  <si>
    <t>Avenida Marechal Floriano Peixoto</t>
  </si>
  <si>
    <t>Hauer</t>
  </si>
  <si>
    <t>81630000</t>
  </si>
  <si>
    <t>-25.4775397</t>
  </si>
  <si>
    <t>-49.2490959</t>
  </si>
  <si>
    <t xml:space="preserve">SHOPPING ILHA PLAZA                                         </t>
  </si>
  <si>
    <t xml:space="preserve">ULTRA COMERCIO DE PERFUMES E COSMETICOS </t>
  </si>
  <si>
    <t xml:space="preserve">grazielly.padua@touticosmetics.com.br                                                                  </t>
  </si>
  <si>
    <t>Avenida Maestro Paulo Silva</t>
  </si>
  <si>
    <t>Stand</t>
  </si>
  <si>
    <t>Jardim Carioca</t>
  </si>
  <si>
    <t>21920445</t>
  </si>
  <si>
    <t>-22.8024348</t>
  </si>
  <si>
    <t>-43.2028445</t>
  </si>
  <si>
    <t xml:space="preserve">SHOPPING VITORIA                                            </t>
  </si>
  <si>
    <t xml:space="preserve">B. M. CARVALHO COMERCIO LTDA            </t>
  </si>
  <si>
    <t xml:space="preserve">brunomcarvalho.adv@gmail.com                                                                                                                          </t>
  </si>
  <si>
    <t>Avenida Américo Buaiz, Até 600 - Lado Par</t>
  </si>
  <si>
    <t>Loja C C/Dep.2 Pav.</t>
  </si>
  <si>
    <t>Enseada Do Suá</t>
  </si>
  <si>
    <t>Vitória</t>
  </si>
  <si>
    <t>ES</t>
  </si>
  <si>
    <t>29050420</t>
  </si>
  <si>
    <t>-20.3107862</t>
  </si>
  <si>
    <t>-40.2893467</t>
  </si>
  <si>
    <t xml:space="preserve">SMART COCAIS SHOPPING                                       </t>
  </si>
  <si>
    <t xml:space="preserve">DEILDES COSTA E SILVA 69337136104       </t>
  </si>
  <si>
    <t xml:space="preserve">deildesimoveis@gmail.com                                                                                                                              </t>
  </si>
  <si>
    <t>Avenida Presidente Médici, Até 1149 - Lado Ímpar</t>
  </si>
  <si>
    <t>Quiosque Q1 18</t>
  </si>
  <si>
    <t>Parque Piauí</t>
  </si>
  <si>
    <t>Timon</t>
  </si>
  <si>
    <t>65631390</t>
  </si>
  <si>
    <t>-5.0966487</t>
  </si>
  <si>
    <t>-42.8314036</t>
  </si>
  <si>
    <t xml:space="preserve">SHOPPING PARAUAPEBAS                                        </t>
  </si>
  <si>
    <t>Rodovia Pa 275</t>
  </si>
  <si>
    <t>Conj</t>
  </si>
  <si>
    <t xml:space="preserve">LOJA SHOPPING MESSEJANA                                     </t>
  </si>
  <si>
    <t>Quiosque 02 18</t>
  </si>
  <si>
    <t xml:space="preserve">SMART MATEUS CASTANHAL                                      </t>
  </si>
  <si>
    <t>CAAP - CONSULTORIA, ASSESSORIA, ADMINIST</t>
  </si>
  <si>
    <t xml:space="preserve">rogeriosaude@uol.com.br                                                                                                                               </t>
  </si>
  <si>
    <t>Avenida Altamira, Até 215/216</t>
  </si>
  <si>
    <t>Saudade I</t>
  </si>
  <si>
    <t>68741320</t>
  </si>
  <si>
    <t xml:space="preserve">SHOPPING PALMAS                                             </t>
  </si>
  <si>
    <t xml:space="preserve">L M ARRAES                              </t>
  </si>
  <si>
    <t xml:space="preserve">leandro_arraes@hotmail.com                                                                                                                            </t>
  </si>
  <si>
    <t>Quadra 101 Sul Rua Ns A</t>
  </si>
  <si>
    <t>Quiosq220 Piso 2</t>
  </si>
  <si>
    <t>Plano Diretor Sul</t>
  </si>
  <si>
    <t>Palmas</t>
  </si>
  <si>
    <t>77015004</t>
  </si>
  <si>
    <t xml:space="preserve">SMART MIX MATEUS PARQUE SÃO JOÃO                            </t>
  </si>
  <si>
    <t xml:space="preserve">J SOUSA SANTOS                          </t>
  </si>
  <si>
    <t xml:space="preserve">josyleia.santos@hotmail.com                                                                                                                           </t>
  </si>
  <si>
    <t>Avenida Henry Wall De Carvalho</t>
  </si>
  <si>
    <t>5300a</t>
  </si>
  <si>
    <t>Parque São João</t>
  </si>
  <si>
    <t>64020720</t>
  </si>
  <si>
    <t>-5.1355835</t>
  </si>
  <si>
    <t>-42.7951369</t>
  </si>
  <si>
    <t xml:space="preserve">SMART MIX ATACAREJO MATEUS URUGUAIA                         </t>
  </si>
  <si>
    <t>Avenida Antônio Oliveira</t>
  </si>
  <si>
    <t>Uruguai</t>
  </si>
  <si>
    <t>64073020</t>
  </si>
  <si>
    <t xml:space="preserve">SMART MIX ATACAREJO REDENÇÃO                                </t>
  </si>
  <si>
    <t xml:space="preserve">WANDERLEIA SPOLIER DISTRIBUICAO LTDA    </t>
  </si>
  <si>
    <t xml:space="preserve">spolierdistribuicao@gmail.com                                                                            </t>
  </si>
  <si>
    <t>R D 11 Qd 92</t>
  </si>
  <si>
    <t>LT 41</t>
  </si>
  <si>
    <t>Cidade Jardim</t>
  </si>
  <si>
    <t>Tucumã</t>
  </si>
  <si>
    <t>68385000</t>
  </si>
  <si>
    <t>-6.7517239</t>
  </si>
  <si>
    <t>-51.1507941</t>
  </si>
  <si>
    <t xml:space="preserve">SMART ICÓ                                                   </t>
  </si>
  <si>
    <t>52.180.035 CARLOS VICTOR MESQUITA DE ARA</t>
  </si>
  <si>
    <t xml:space="preserve">carlos.victor.m@hotmail.com                                                                                                                           </t>
  </si>
  <si>
    <t>Avenida Josefa Nogueira Monteiro</t>
  </si>
  <si>
    <t>Letra B</t>
  </si>
  <si>
    <t>Icó</t>
  </si>
  <si>
    <t>63430000</t>
  </si>
  <si>
    <t>-6.4003992</t>
  </si>
  <si>
    <t>-38.8575946</t>
  </si>
  <si>
    <t xml:space="preserve">LOJA TOUTI GOIANA                                           </t>
  </si>
  <si>
    <t>Rua Da Soledade</t>
  </si>
  <si>
    <t xml:space="preserve">RUSSAS CENTRO                                               </t>
  </si>
  <si>
    <t xml:space="preserve">GLEIDSON DE ARAUJO LIMA 63758547334     </t>
  </si>
  <si>
    <t xml:space="preserve">villageseuestilo@outlook.com                                                                                                                          </t>
  </si>
  <si>
    <t>Russas</t>
  </si>
  <si>
    <t>Conj P1Adm</t>
  </si>
  <si>
    <t>62900000</t>
  </si>
  <si>
    <t>-4.9354279</t>
  </si>
  <si>
    <t>-37.9783838</t>
  </si>
  <si>
    <t xml:space="preserve">SMART MERCADO CENTRAL DE JUAZEIRO DO NORTE                  </t>
  </si>
  <si>
    <t xml:space="preserve">EMANUEL FERNANDES DE OLIVEIRA           </t>
  </si>
  <si>
    <t xml:space="preserve">mirellajoias2021@gmail.com                                                                                                                            </t>
  </si>
  <si>
    <t>Rua Do Mercado</t>
  </si>
  <si>
    <t>63010226</t>
  </si>
  <si>
    <t xml:space="preserve">SMART ALTOS PIAUÍ                                           </t>
  </si>
  <si>
    <t>REINALDO ARAUJO RODRIGUES JUNIOR 0693977</t>
  </si>
  <si>
    <t xml:space="preserve">reinaldo02juniorr@gmail.com                                                                                                                           </t>
  </si>
  <si>
    <t>Altos</t>
  </si>
  <si>
    <t>Box 206</t>
  </si>
  <si>
    <t>64290000</t>
  </si>
  <si>
    <t>-5.0393915</t>
  </si>
  <si>
    <t>-42.4611694</t>
  </si>
  <si>
    <t xml:space="preserve">SMART SHOP SOLARES                                          </t>
  </si>
  <si>
    <t xml:space="preserve">JOSE ROMARIO DA SILVA BRITO 05766713398 </t>
  </si>
  <si>
    <t xml:space="preserve">ro.mario.brito@hotmail.com                                                                                                                            </t>
  </si>
  <si>
    <t>Rua Waldir Diogo</t>
  </si>
  <si>
    <t>Quiosqtouti</t>
  </si>
  <si>
    <t>Manuel Sátiro</t>
  </si>
  <si>
    <t>60764020</t>
  </si>
  <si>
    <t>-3.8055512</t>
  </si>
  <si>
    <t>-38.5835359</t>
  </si>
  <si>
    <t xml:space="preserve">SHOPPING REGISTRO                                           </t>
  </si>
  <si>
    <t xml:space="preserve">EDSON MUNIZ VIANA 27763977809           </t>
  </si>
  <si>
    <t xml:space="preserve">e_dinho_viana@hotmail.com                                                                                                                             </t>
  </si>
  <si>
    <t>Rua Presidente Getulio Vargas</t>
  </si>
  <si>
    <t>Loja 2022 Touti Perfumes</t>
  </si>
  <si>
    <t>Registro</t>
  </si>
  <si>
    <t>11900000</t>
  </si>
  <si>
    <t>-24.4979420</t>
  </si>
  <si>
    <t>-47.8448950</t>
  </si>
  <si>
    <t xml:space="preserve">LOJA SHOP UNIÃO OSASCO                                      </t>
  </si>
  <si>
    <t xml:space="preserve">milena@toutisp.com.br                                            </t>
  </si>
  <si>
    <t>Av Dos Autonomistas</t>
  </si>
  <si>
    <t>Vila Yara</t>
  </si>
  <si>
    <t>Osasco</t>
  </si>
  <si>
    <t>6020010</t>
  </si>
  <si>
    <t xml:space="preserve">LOJA CENTRO DIVINOPOLIS                                     </t>
  </si>
  <si>
    <t>R Rio De Janeiro</t>
  </si>
  <si>
    <t>Loja 244</t>
  </si>
  <si>
    <t xml:space="preserve">SHOPPING SUMAUMA I                                          </t>
  </si>
  <si>
    <t xml:space="preserve">LUCIMAR GOMES DA COSTA LTDA             </t>
  </si>
  <si>
    <t>Avenida Noel Nutels, De 851/852 A 2399/2400</t>
  </si>
  <si>
    <t>Quiosque A07</t>
  </si>
  <si>
    <t>Cidade Nova</t>
  </si>
  <si>
    <t>Manaus</t>
  </si>
  <si>
    <t>AM</t>
  </si>
  <si>
    <t>69000-000</t>
  </si>
  <si>
    <t xml:space="preserve">SHOPPING MANAUS VIA NORTE                                   </t>
  </si>
  <si>
    <t xml:space="preserve">L GOMES DA COSTA LTDA                   </t>
  </si>
  <si>
    <t>Av Arquiteto Jose Henriques Bento Rodrigues</t>
  </si>
  <si>
    <t>Santa Etelvina</t>
  </si>
  <si>
    <t xml:space="preserve">SHOPPING SOBRAL                                             </t>
  </si>
  <si>
    <t xml:space="preserve">MAIRA Y. S. PEDROSO LTDA - ME           </t>
  </si>
  <si>
    <t>Rua Carmelina Sá Barreto</t>
  </si>
  <si>
    <t>Quiosqq104F Touti</t>
  </si>
  <si>
    <t>Sinhá Sabóia</t>
  </si>
  <si>
    <t>Sobral</t>
  </si>
  <si>
    <t>62051-430</t>
  </si>
  <si>
    <t xml:space="preserve">SMART NOVO SHOPPING                                         </t>
  </si>
  <si>
    <t>JOCENIRA DAS GRACAS BORGES SAMPAIO 32507</t>
  </si>
  <si>
    <t xml:space="preserve">e.marcos.sampaio@gmail.com                           </t>
  </si>
  <si>
    <t>Av Sao Luis Rei De Franca, Rio Anil Shopping - Quiosque-204</t>
  </si>
  <si>
    <t>Turu</t>
  </si>
  <si>
    <t>65065470</t>
  </si>
  <si>
    <t>-2.5231547</t>
  </si>
  <si>
    <t>-44.2260173</t>
  </si>
  <si>
    <t xml:space="preserve">SHOPPING METROPOLE ANANINDEUA                               </t>
  </si>
  <si>
    <t>Cdd Ananindeua, Rodovia Br-316, Km 4 Lote S/N</t>
  </si>
  <si>
    <t>Quiosq204 Edif Shopping Rio Anil</t>
  </si>
  <si>
    <t>Coqueiro</t>
  </si>
  <si>
    <t>Ananindeua</t>
  </si>
  <si>
    <t>67113970</t>
  </si>
  <si>
    <t>-1.3888539</t>
  </si>
  <si>
    <t>-48.4124722</t>
  </si>
  <si>
    <t xml:space="preserve">SMART MATEUS PIRIPIRI                                       </t>
  </si>
  <si>
    <t xml:space="preserve">STENIO M FERREIRA                       </t>
  </si>
  <si>
    <t xml:space="preserve">stenio_moraes@outlook.com                                                                                                                             </t>
  </si>
  <si>
    <t>Quadra Parque Piauí</t>
  </si>
  <si>
    <t>64012-335</t>
  </si>
  <si>
    <t xml:space="preserve">SHOPPING JOCKEY PLAZA                                       </t>
  </si>
  <si>
    <t xml:space="preserve">toutipalladium@gmail.com                                                                                                       </t>
  </si>
  <si>
    <t>Avenida Victor Ferreira Do Amaral</t>
  </si>
  <si>
    <t>Tarumã</t>
  </si>
  <si>
    <t>82810350</t>
  </si>
  <si>
    <t>-25.4305239</t>
  </si>
  <si>
    <t>-49.2090570</t>
  </si>
  <si>
    <t xml:space="preserve">SMART MIX ATACAREJO TIANGUA                                 </t>
  </si>
  <si>
    <t xml:space="preserve">K. B. SOARES SILVA LTDA                 </t>
  </si>
  <si>
    <t xml:space="preserve">klysmanbrunno@gmail.com                                                                                                                               </t>
  </si>
  <si>
    <t>Avenida Prefeito Jacques Nunes</t>
  </si>
  <si>
    <t>Tianguá</t>
  </si>
  <si>
    <t>62320069</t>
  </si>
  <si>
    <t>-3.7362767</t>
  </si>
  <si>
    <t>-40.9913335</t>
  </si>
  <si>
    <t xml:space="preserve">SMART MIX ATACAREJO SOBRAL                                  </t>
  </si>
  <si>
    <t>Avenida Padre Francisco Sadoc De Araújo</t>
  </si>
  <si>
    <t>Anexo Dentro Do Supermerca</t>
  </si>
  <si>
    <t>Jocely Dantas De Andrade Torre</t>
  </si>
  <si>
    <t>62042015</t>
  </si>
  <si>
    <t xml:space="preserve">SMART CENTRO PARAMBU                                        </t>
  </si>
  <si>
    <t xml:space="preserve">ANDREIA VALENTIM EUFRASIO 02693985382   </t>
  </si>
  <si>
    <t xml:space="preserve">andreia_marcio28@hotmail.com                                                                                                                          </t>
  </si>
  <si>
    <t>Parambu</t>
  </si>
  <si>
    <t>Centro Parambu</t>
  </si>
  <si>
    <t>63680000</t>
  </si>
  <si>
    <t>-6.2123856</t>
  </si>
  <si>
    <t>-40.6954982</t>
  </si>
  <si>
    <t xml:space="preserve">MIX MATEUS CIDADE NOVA MARABÁ                               </t>
  </si>
  <si>
    <t xml:space="preserve">CHAMPIONS CONSULTORIA E COMERCIO LTDA   </t>
  </si>
  <si>
    <t xml:space="preserve">biacafemarita@gmail.com                                                                                       </t>
  </si>
  <si>
    <t>R Quinze</t>
  </si>
  <si>
    <t xml:space="preserve">SMART SUPERMERCADOS EL CAMINO CONCEIÇÃO DO ARAGUAIA         </t>
  </si>
  <si>
    <t xml:space="preserve">wanderleiasolar@gmail.com                                                                                      </t>
  </si>
  <si>
    <t xml:space="preserve">SHOPPING GRANDE CIRCULAR                                    </t>
  </si>
  <si>
    <t xml:space="preserve">ALINE VAZ SANTOS LTDA                   </t>
  </si>
  <si>
    <t>Avenida Autaz Mirim</t>
  </si>
  <si>
    <t>São José Operário</t>
  </si>
  <si>
    <t xml:space="preserve">SHOPPING PLAZA NITEROI                                      </t>
  </si>
  <si>
    <t xml:space="preserve">REINADO COMERCIO DE PERFUMES LTDA       </t>
  </si>
  <si>
    <t xml:space="preserve">grazielly.padua@touticosmetics.com.br                                                        </t>
  </si>
  <si>
    <t>R Quinze De Novembro</t>
  </si>
  <si>
    <t>Quiosqq 011 Piso L0</t>
  </si>
  <si>
    <t>Niterói</t>
  </si>
  <si>
    <t>24020125</t>
  </si>
  <si>
    <t>-22.8964728</t>
  </si>
  <si>
    <t>-43.1207942</t>
  </si>
  <si>
    <t xml:space="preserve">SMART MIX MATEUS JACOBINA                                   </t>
  </si>
  <si>
    <t xml:space="preserve">47.561.789 ITALO MARCOS LIMA FELIX      </t>
  </si>
  <si>
    <t xml:space="preserve">djitalolima@gmail.com                                                                                                                                 </t>
  </si>
  <si>
    <t>Calcadao Rua Coronel Teixeira</t>
  </si>
  <si>
    <t>Jacobina</t>
  </si>
  <si>
    <t>44700000</t>
  </si>
  <si>
    <t>-11.1851561</t>
  </si>
  <si>
    <t>-40.5112434</t>
  </si>
  <si>
    <t xml:space="preserve">SMART ESTACAO JOANA BEZERRA                                 </t>
  </si>
  <si>
    <t>REBEKA NYLKARE MARQUES DO NASCIMENTO 062</t>
  </si>
  <si>
    <t xml:space="preserve">rebeka.nylkare@gmail.com                                                                                                                              </t>
  </si>
  <si>
    <t>Cais Do Apolo</t>
  </si>
  <si>
    <t>Quiosq Quiosque Em Frente Ao Calcadao</t>
  </si>
  <si>
    <t>50030230</t>
  </si>
  <si>
    <t>-8.0629155</t>
  </si>
  <si>
    <t>-34.8741244</t>
  </si>
  <si>
    <t xml:space="preserve">SHOPPING FRANCA                                             </t>
  </si>
  <si>
    <t>CENTURIONN COMERCIO DE PERFUMES E COSMET</t>
  </si>
  <si>
    <t xml:space="preserve">jeniffer.oliveira@touticosmetics.com.br                                                                    </t>
  </si>
  <si>
    <t>Avenida Rio Negro</t>
  </si>
  <si>
    <t>Jardim Roselandia</t>
  </si>
  <si>
    <t>Franca</t>
  </si>
  <si>
    <t>14406005</t>
  </si>
  <si>
    <t>-20.5481006</t>
  </si>
  <si>
    <t>-47.4151206</t>
  </si>
  <si>
    <t xml:space="preserve">SMART ESTAÇÃO RECIFE                                        </t>
  </si>
  <si>
    <t xml:space="preserve">RAYLINE MALHEIROS DE MELO 05818760405   </t>
  </si>
  <si>
    <t xml:space="preserve">raylinemalheiros@hotmail.com                                                                                                                          </t>
  </si>
  <si>
    <t>R Antonio Borges Uchoa</t>
  </si>
  <si>
    <t>Quiosqmik 715</t>
  </si>
  <si>
    <t>Engenho Do Meio</t>
  </si>
  <si>
    <t>50730230</t>
  </si>
  <si>
    <t>-8.0564791</t>
  </si>
  <si>
    <t>-34.9424312</t>
  </si>
  <si>
    <t xml:space="preserve">SHOPPING SUZANO                                             </t>
  </si>
  <si>
    <t xml:space="preserve">milena@toutisp.com.br                                                               </t>
  </si>
  <si>
    <t>Rua Sete De Setembro</t>
  </si>
  <si>
    <t>P213</t>
  </si>
  <si>
    <t>Parque Suzano</t>
  </si>
  <si>
    <t>Suzano</t>
  </si>
  <si>
    <t>08673-020</t>
  </si>
  <si>
    <t xml:space="preserve">SMART RIBEIRA DO POMBAL                                     </t>
  </si>
  <si>
    <t xml:space="preserve">FMSS EMPREENDIMENTOS LTDA               </t>
  </si>
  <si>
    <t xml:space="preserve">f.m.s.s359@gmail.com                                                                                                                                  </t>
  </si>
  <si>
    <t>Ribeira Do Pombal</t>
  </si>
  <si>
    <t>Quiosqq22</t>
  </si>
  <si>
    <t>48400000</t>
  </si>
  <si>
    <t>-10.8372990</t>
  </si>
  <si>
    <t>-38.5381520</t>
  </si>
  <si>
    <t xml:space="preserve">CENTRO DIAS D'AVILA                                         </t>
  </si>
  <si>
    <t>ADRIELLE PINTO DOS SANTOS NOLASCO 058524</t>
  </si>
  <si>
    <t xml:space="preserve">stationimportsbr@gmail.com                                                                                                                            </t>
  </si>
  <si>
    <t>10Av Av. Brasil Ou Avenida Getulio Vargas</t>
  </si>
  <si>
    <t>Dias D'Ávila</t>
  </si>
  <si>
    <t>42850000</t>
  </si>
  <si>
    <t>-12.6107233</t>
  </si>
  <si>
    <t>-38.3028518</t>
  </si>
  <si>
    <t xml:space="preserve">TOUTI LOJAO DE CARUARU                                      </t>
  </si>
  <si>
    <t>MARIA YOHANNA SOUZA SILVA ARAUJO 0938596</t>
  </si>
  <si>
    <t xml:space="preserve">lhymarie@hotmail.com                                                                                                                                  </t>
  </si>
  <si>
    <t>Rua 31 De Março</t>
  </si>
  <si>
    <t>Exu</t>
  </si>
  <si>
    <t>56230000</t>
  </si>
  <si>
    <t>-7.5154340</t>
  </si>
  <si>
    <t>-39.7220150</t>
  </si>
  <si>
    <t xml:space="preserve">SMART CENTRO TAUÁ                                           </t>
  </si>
  <si>
    <t>FRANCISCO RUTILO CARACAS SOARES 78981689</t>
  </si>
  <si>
    <t xml:space="preserve">elcilenetaua@gmail.com                                                                                                                                </t>
  </si>
  <si>
    <t>Tauá</t>
  </si>
  <si>
    <t>63660000</t>
  </si>
  <si>
    <t>-6.0031372</t>
  </si>
  <si>
    <t>-40.2947268</t>
  </si>
  <si>
    <t xml:space="preserve">SMART SUPERMERCADO MATEUS PARAUAPEBAS                       </t>
  </si>
  <si>
    <t xml:space="preserve">MARIA JULIA DA COSTA SALVIANO LTDA      </t>
  </si>
  <si>
    <t>Quiosqq12 Folha 30 Lote10</t>
  </si>
  <si>
    <t xml:space="preserve">SHOPPING CALÇADÃO DE CAMPO GRANDE                           </t>
  </si>
  <si>
    <t xml:space="preserve">MARIO MEIRELLES MORENO LTDA             </t>
  </si>
  <si>
    <t>Rua Coronel Agostinho</t>
  </si>
  <si>
    <t>Campo Grande</t>
  </si>
  <si>
    <t>23050360</t>
  </si>
  <si>
    <t>-22.9026028</t>
  </si>
  <si>
    <t>-43.5590080</t>
  </si>
  <si>
    <t xml:space="preserve">PÁTIO LIMEIRA SHOPPING                                      </t>
  </si>
  <si>
    <t xml:space="preserve">milena@toutisp.com.br                                                 </t>
  </si>
  <si>
    <t>Rua Carlos Gomes</t>
  </si>
  <si>
    <t>Fds Quiosque Q11</t>
  </si>
  <si>
    <t>Limeira</t>
  </si>
  <si>
    <t>13480013</t>
  </si>
  <si>
    <t>-22.5686447</t>
  </si>
  <si>
    <t>-47.4062463</t>
  </si>
  <si>
    <t xml:space="preserve">PARQUE SHOPPING SULACAP                                     </t>
  </si>
  <si>
    <t>QCAMISAS ARTIGOS DO VESTUARIO EIRELI - M</t>
  </si>
  <si>
    <t xml:space="preserve">marceloscrj@hotmail.com                                                                                                                               </t>
  </si>
  <si>
    <t xml:space="preserve">SMART MIX MATEUS TUCURUÍ                                    </t>
  </si>
  <si>
    <t xml:space="preserve">wanderleiasolar@gmail.com                                                                                  </t>
  </si>
  <si>
    <t>Rua B</t>
  </si>
  <si>
    <t>Loja 130</t>
  </si>
  <si>
    <t>Jardim Paraíso</t>
  </si>
  <si>
    <t>Tucuruí</t>
  </si>
  <si>
    <t>68458100</t>
  </si>
  <si>
    <t>-3.7566777</t>
  </si>
  <si>
    <t>-49.6690864</t>
  </si>
  <si>
    <t xml:space="preserve">LOJA CARIACICA                                              </t>
  </si>
  <si>
    <t xml:space="preserve">B MARQUES COMERCIO LTDA                 </t>
  </si>
  <si>
    <t>Av Expedito Garcia</t>
  </si>
  <si>
    <t>Galpão 01</t>
  </si>
  <si>
    <t>Cariacica</t>
  </si>
  <si>
    <t>29146201</t>
  </si>
  <si>
    <t>-20.3427391</t>
  </si>
  <si>
    <t>-40.3848241</t>
  </si>
  <si>
    <t xml:space="preserve">SMART CENTRO CAMPO MAIOR                                    </t>
  </si>
  <si>
    <t>50.860.157 FRANCISCO MOISES ALVES ARAUJO</t>
  </si>
  <si>
    <t>10Av Demerval Lobao</t>
  </si>
  <si>
    <t>Shopping Sao Miguel Loja 20</t>
  </si>
  <si>
    <t>Campo Maior</t>
  </si>
  <si>
    <t>64280000</t>
  </si>
  <si>
    <t>-4.8339574</t>
  </si>
  <si>
    <t>-42.1739786</t>
  </si>
  <si>
    <t xml:space="preserve">SMART RODOVIÁRIA RIO                                        </t>
  </si>
  <si>
    <t xml:space="preserve">AD COSMETICOS LTDA                      </t>
  </si>
  <si>
    <t xml:space="preserve">touti.rodoviariadorio@gmail.com                                                                                                                       </t>
  </si>
  <si>
    <t>Avenida Francisco Bicalho</t>
  </si>
  <si>
    <t>Quiosq Dentro Do Mateus</t>
  </si>
  <si>
    <t>Santo Cristo</t>
  </si>
  <si>
    <t>20220310</t>
  </si>
  <si>
    <t>-22.9082272</t>
  </si>
  <si>
    <t>-43.2098951</t>
  </si>
  <si>
    <t xml:space="preserve">SMART BOX FEIRA DE SANTANA                                  </t>
  </si>
  <si>
    <t>MATHEUS BARRETO DA CONCEICAO 06278379562</t>
  </si>
  <si>
    <t xml:space="preserve">mathsbarreto@gmail.com                                                                                                                                </t>
  </si>
  <si>
    <t>Rua José Dantas De Oliveira</t>
  </si>
  <si>
    <t>Qq16</t>
  </si>
  <si>
    <t>Fazenda Grande Do Retiro</t>
  </si>
  <si>
    <t>40354-135</t>
  </si>
  <si>
    <t xml:space="preserve">SMART EL CAMINO SANTA HELENA                                </t>
  </si>
  <si>
    <t xml:space="preserve">KW CONSTRUCOES LTDA                     </t>
  </si>
  <si>
    <t xml:space="preserve">wsllgaby@icloud.com                                                                                                                                   </t>
  </si>
  <si>
    <t>Avenida Lourenco Vieira Da Silva</t>
  </si>
  <si>
    <t>Jardim Sao Cristovao</t>
  </si>
  <si>
    <t>65055310</t>
  </si>
  <si>
    <t>-2.5666066</t>
  </si>
  <si>
    <t>-44.2267377</t>
  </si>
  <si>
    <t xml:space="preserve">SHOPPING DA ILHA                                            </t>
  </si>
  <si>
    <t xml:space="preserve">M J DA COSTA SALVIANO LTDA              </t>
  </si>
  <si>
    <t>Avenida Daniel De La Touche</t>
  </si>
  <si>
    <t>Con Ribamar Carvalho Quadra 176</t>
  </si>
  <si>
    <t>Cohama</t>
  </si>
  <si>
    <t>65074115</t>
  </si>
  <si>
    <t>-2.5295051</t>
  </si>
  <si>
    <t>-44.2559640</t>
  </si>
  <si>
    <t xml:space="preserve">SMART AFRANIO - COMERCIAL CAVALCANTE                        </t>
  </si>
  <si>
    <t>MARIA LUCILENE PEREIRA DA CRUZ 065444164</t>
  </si>
  <si>
    <t xml:space="preserve">mlucilenepc@gmail.com                                                                                                                                 </t>
  </si>
  <si>
    <t>Rua Ricardo Soares Coelho</t>
  </si>
  <si>
    <t>Quiosq403 Touti Pavmtol4</t>
  </si>
  <si>
    <t>Atrás Da Banca</t>
  </si>
  <si>
    <t>56308100</t>
  </si>
  <si>
    <t>-9.3978978</t>
  </si>
  <si>
    <t>-40.5106316</t>
  </si>
  <si>
    <t xml:space="preserve">LOJA TOUTI TRINDADE                                         </t>
  </si>
  <si>
    <t>ANA PAULA MEDEIROS DE OLIVEIRA 114697944</t>
  </si>
  <si>
    <t>R Agamenon Magalhaes</t>
  </si>
  <si>
    <t>Cond Vita Plaza Andar Torre 01/ Apt 504 Andar Cond</t>
  </si>
  <si>
    <t>Trindade</t>
  </si>
  <si>
    <t>56250000</t>
  </si>
  <si>
    <t>-7.7590000</t>
  </si>
  <si>
    <t>-40.2647200</t>
  </si>
  <si>
    <t xml:space="preserve">SMART CENTRO SÃO RAIMUNDO NONATO                            </t>
  </si>
  <si>
    <t xml:space="preserve">TOUTI SRN LTDA                          </t>
  </si>
  <si>
    <t xml:space="preserve">toutisaoraimundo@gmail.com                                                                                                                            </t>
  </si>
  <si>
    <t>R Professor Raimundo Araújo Pinheiro</t>
  </si>
  <si>
    <t>São Raimundo Nonato</t>
  </si>
  <si>
    <t>64770000</t>
  </si>
  <si>
    <t>-9.0149761</t>
  </si>
  <si>
    <t>-42.6888427</t>
  </si>
  <si>
    <t xml:space="preserve">SMART GRAVATA AMOR AMORA                                    </t>
  </si>
  <si>
    <t>GRAVATA COMERCIO DE BIJUTERIAS E ACESSOR</t>
  </si>
  <si>
    <t xml:space="preserve">leandroperes9977@gmail.com                                                                                         </t>
  </si>
  <si>
    <t>R Rui Barbosa</t>
  </si>
  <si>
    <t>Gravatá</t>
  </si>
  <si>
    <t>55641100</t>
  </si>
  <si>
    <t>-8.2030898</t>
  </si>
  <si>
    <t>-35.5682486</t>
  </si>
  <si>
    <t xml:space="preserve">AMOR AMORA BIJU SMART MACEIO                                </t>
  </si>
  <si>
    <t>COMERCIAL MACEIO DE BIJUTERIAS E ACESSOR</t>
  </si>
  <si>
    <t xml:space="preserve">leandroperes9977@gmail.com                                                                                 </t>
  </si>
  <si>
    <t>Rua Do Livramento</t>
  </si>
  <si>
    <t>57020030</t>
  </si>
  <si>
    <t>-9.6645324</t>
  </si>
  <si>
    <t>-35.7417624</t>
  </si>
  <si>
    <t xml:space="preserve">FULL NOVO SHOP CENTER                                       </t>
  </si>
  <si>
    <t xml:space="preserve">milena@toutisp.com.br                                              </t>
  </si>
  <si>
    <t>Av Presidente Kennedy</t>
  </si>
  <si>
    <t>Ribeirania</t>
  </si>
  <si>
    <t>Ribeirao Preto</t>
  </si>
  <si>
    <t>14096901</t>
  </si>
  <si>
    <t>-21.2057791</t>
  </si>
  <si>
    <t>-47.7690397</t>
  </si>
  <si>
    <t xml:space="preserve">SMART TERMINAL RODOVIÁRIO DE IMPERATRIZ                     </t>
  </si>
  <si>
    <t xml:space="preserve">FERNANDA SILVA ALMEIDA 61875243305      </t>
  </si>
  <si>
    <t xml:space="preserve">hpereirati@gmail.com                                                                                  </t>
  </si>
  <si>
    <t>Rua Santo Antonio</t>
  </si>
  <si>
    <t>Quiosqqsq Touti</t>
  </si>
  <si>
    <t>Parque Das Mangueiras</t>
  </si>
  <si>
    <t>65914255</t>
  </si>
  <si>
    <t>-5.5137150</t>
  </si>
  <si>
    <t>-47.4481716</t>
  </si>
  <si>
    <t xml:space="preserve">SMART GBARBOSA HIPER FRANCISCO PORTO                        </t>
  </si>
  <si>
    <t xml:space="preserve">V M DOS SANTOS PERFUMES                 </t>
  </si>
  <si>
    <t xml:space="preserve">vanessa.gerentevendas@gmail.com                                                                                                                       </t>
  </si>
  <si>
    <t>Avenida Francisco Porto</t>
  </si>
  <si>
    <t>A</t>
  </si>
  <si>
    <t>Treze De Julho</t>
  </si>
  <si>
    <t>49020120</t>
  </si>
  <si>
    <t>-10.9329859</t>
  </si>
  <si>
    <t>-37.0563270</t>
  </si>
  <si>
    <t xml:space="preserve">SMART GUANAMBI CENTRO II                                    </t>
  </si>
  <si>
    <t>RAFAEL MOREIRA DE SOUZA ARANHA 088975525</t>
  </si>
  <si>
    <t xml:space="preserve">rafaelaranha1234@gmail.com                                                                                                                            </t>
  </si>
  <si>
    <t>Rua Humberto De Campos</t>
  </si>
  <si>
    <t>31A</t>
  </si>
  <si>
    <t>Guanambi</t>
  </si>
  <si>
    <t>46430-000</t>
  </si>
  <si>
    <t xml:space="preserve">SMART MIX MATEUS BACABAL                                    </t>
  </si>
  <si>
    <t>Rod. Br</t>
  </si>
  <si>
    <t>Bacabal</t>
  </si>
  <si>
    <t>65700000</t>
  </si>
  <si>
    <t>-4.2318132</t>
  </si>
  <si>
    <t>-44.7811670</t>
  </si>
  <si>
    <t xml:space="preserve">SMART CENTRO CAETE MG                                       </t>
  </si>
  <si>
    <t xml:space="preserve">50.995.452 MARIA APARECIDA VIANA SANTOS </t>
  </si>
  <si>
    <t xml:space="preserve">libianeviana@gmail.com                                                                                                                                </t>
  </si>
  <si>
    <t>10A Avenida Jair Dantas</t>
  </si>
  <si>
    <t>Quiosq5000</t>
  </si>
  <si>
    <t>Jose Brandao</t>
  </si>
  <si>
    <t>Caeté</t>
  </si>
  <si>
    <t>34800000</t>
  </si>
  <si>
    <t xml:space="preserve">SMART IGARASSU                                              </t>
  </si>
  <si>
    <t xml:space="preserve">JOAO VICTOR BARBOSA SILVA 10482320427   </t>
  </si>
  <si>
    <t xml:space="preserve">flavio.pontual@hotmail.com                                                                                                                            </t>
  </si>
  <si>
    <t>Rua João Alves Berenguer</t>
  </si>
  <si>
    <t>Loja 5</t>
  </si>
  <si>
    <t>Cruz Do Rebouças</t>
  </si>
  <si>
    <t>Igarassu</t>
  </si>
  <si>
    <t>53635158</t>
  </si>
  <si>
    <t>-7.8699937</t>
  </si>
  <si>
    <t>-34.9086448</t>
  </si>
  <si>
    <t xml:space="preserve">SHOPPING JARDIM ORIENTE                                     </t>
  </si>
  <si>
    <t xml:space="preserve">JJLN COMERCIO DE COSMETICOS LTDA        </t>
  </si>
  <si>
    <t xml:space="preserve">milena@toutisp.com.br                                                          </t>
  </si>
  <si>
    <t>R Andorra</t>
  </si>
  <si>
    <t>Jardim America</t>
  </si>
  <si>
    <t>12235050</t>
  </si>
  <si>
    <t>-23.2329948</t>
  </si>
  <si>
    <t>-45.8971914</t>
  </si>
  <si>
    <t xml:space="preserve">SMART SHOPPING VILLA JARDIM                                 </t>
  </si>
  <si>
    <t>49.065.236 ROBERTA BEATRIZ GOMES DE ALME</t>
  </si>
  <si>
    <t xml:space="preserve">toutiitabaiana@gmail.com                                                                                                                              </t>
  </si>
  <si>
    <t>Rua Presidente João Pessoa</t>
  </si>
  <si>
    <t>Quiosqq28</t>
  </si>
  <si>
    <t>Itabaiana</t>
  </si>
  <si>
    <t>58360000</t>
  </si>
  <si>
    <t>-7.3299566</t>
  </si>
  <si>
    <t>-35.3359995</t>
  </si>
  <si>
    <t xml:space="preserve">SHOPPING RIO ANIL                                           </t>
  </si>
  <si>
    <t xml:space="preserve">C E J PERFUMARIA LTDA                   </t>
  </si>
  <si>
    <t>Avenida São Luís Rei De França</t>
  </si>
  <si>
    <t>Cruzeiro Do Anil</t>
  </si>
  <si>
    <t xml:space="preserve">SMART ASSAI  AVENIDA RECIFE                                 </t>
  </si>
  <si>
    <t xml:space="preserve">LUCIMARA G DA COSTA PEDROSO LTDA        </t>
  </si>
  <si>
    <t>Av Recife</t>
  </si>
  <si>
    <t>Jardim Sao Paulo</t>
  </si>
  <si>
    <t>50910380</t>
  </si>
  <si>
    <t>-8.0740673</t>
  </si>
  <si>
    <t>-34.9372774</t>
  </si>
  <si>
    <t xml:space="preserve">CENTRO SERRITA                                              </t>
  </si>
  <si>
    <t xml:space="preserve">33.790.181 MARIA LUIZA LIMA PEREIRA     </t>
  </si>
  <si>
    <t xml:space="preserve">credfaciltrindade@gmail.com                                                                                                                           </t>
  </si>
  <si>
    <t>R Dom Jose Lopes</t>
  </si>
  <si>
    <t>Galpao 0000</t>
  </si>
  <si>
    <t>Serrita</t>
  </si>
  <si>
    <t>56140000</t>
  </si>
  <si>
    <t>-7.9476953</t>
  </si>
  <si>
    <t>-39.2957383</t>
  </si>
  <si>
    <t xml:space="preserve">CENTRO BOM CONSELHO SMART                                   </t>
  </si>
  <si>
    <t>Rodovia Raposo Tavares, Do Km 15,153 Ao Km 18,201 - Lado Ímp</t>
  </si>
  <si>
    <t>Jardim Arpoador</t>
  </si>
  <si>
    <t>5577200</t>
  </si>
  <si>
    <t xml:space="preserve">LOJA ITABAIANA                                              </t>
  </si>
  <si>
    <t xml:space="preserve">MARIA BATISTA SOARES LIMA-04778904583   </t>
  </si>
  <si>
    <t xml:space="preserve">mariabatista0000@gmail.com                                                                                                                            </t>
  </si>
  <si>
    <t>R Augusto Maynard</t>
  </si>
  <si>
    <t>49300-000</t>
  </si>
  <si>
    <t xml:space="preserve">SMART JACOBINA - BA                                         </t>
  </si>
  <si>
    <t>Garage</t>
  </si>
  <si>
    <t xml:space="preserve">SMART MALVIDAS URUÇUÍ                                       </t>
  </si>
  <si>
    <t xml:space="preserve">DARIANNE SANTOS LEMOS 05594905340       </t>
  </si>
  <si>
    <t xml:space="preserve">dariannelemos@outlook.com                                                                                                                             </t>
  </si>
  <si>
    <t>Cj Manoel De Sousa</t>
  </si>
  <si>
    <t>Malvinas</t>
  </si>
  <si>
    <t>Uruçuí</t>
  </si>
  <si>
    <t>64860000</t>
  </si>
  <si>
    <t>-7.7970000</t>
  </si>
  <si>
    <t>-44.5748709</t>
  </si>
  <si>
    <t xml:space="preserve">TERMINAL RODOVIARIO TIETE                                   </t>
  </si>
  <si>
    <t>Avenida Cruzeiro Do Sul</t>
  </si>
  <si>
    <t>Canindé</t>
  </si>
  <si>
    <t>03033-020</t>
  </si>
  <si>
    <t xml:space="preserve">SMART SHOPPING ALEGRIA                                      </t>
  </si>
  <si>
    <t xml:space="preserve">49.515.903 EVERTON LUAN CASSIANO        </t>
  </si>
  <si>
    <t xml:space="preserve">everton_cassiano98@hotmail.com                                                                             </t>
  </si>
  <si>
    <t>Avenida Duque De Caxias</t>
  </si>
  <si>
    <t>Quiosqqf2M</t>
  </si>
  <si>
    <t>Jardim Promeca</t>
  </si>
  <si>
    <t>Várzea Paulista</t>
  </si>
  <si>
    <t>13223025</t>
  </si>
  <si>
    <t>-23.2074649</t>
  </si>
  <si>
    <t>-46.8142667</t>
  </si>
  <si>
    <t xml:space="preserve">SMART HIPER MATEUS BALSAS                                   </t>
  </si>
  <si>
    <t xml:space="preserve">JOELMA PIRES DA SILVA LTDA              </t>
  </si>
  <si>
    <t xml:space="preserve">joe2016pi@gmail.com                                                                                                                                   </t>
  </si>
  <si>
    <t>Balsas</t>
  </si>
  <si>
    <t>65800000</t>
  </si>
  <si>
    <t>-7.5321400</t>
  </si>
  <si>
    <t>-46.0371630</t>
  </si>
  <si>
    <t xml:space="preserve">SHOPPING SÃO GONÇALO                                        </t>
  </si>
  <si>
    <t xml:space="preserve">LUCIENE GOMES DA COSTA LTDA             </t>
  </si>
  <si>
    <t>Rod Niteroi</t>
  </si>
  <si>
    <t>Boa Vista</t>
  </si>
  <si>
    <t>São Gonçalo</t>
  </si>
  <si>
    <t>24466970</t>
  </si>
  <si>
    <t>-22.8151144</t>
  </si>
  <si>
    <t>-43.0703818</t>
  </si>
  <si>
    <t xml:space="preserve">SMART SHOPPING DA CIDADE                                    </t>
  </si>
  <si>
    <t>Av. Maranhão</t>
  </si>
  <si>
    <t>Manilha</t>
  </si>
  <si>
    <t>64000010</t>
  </si>
  <si>
    <t>-5.0930352</t>
  </si>
  <si>
    <t>-42.8185266</t>
  </si>
  <si>
    <t xml:space="preserve">SMART CARVALHO SUPER JOAQUIM NELSON                         </t>
  </si>
  <si>
    <t xml:space="preserve">49.137.695 REINALDO ARAUJO RODRIGUES    </t>
  </si>
  <si>
    <t>Rua Joaquim Nelson</t>
  </si>
  <si>
    <t>Novo Horizonte</t>
  </si>
  <si>
    <t>64090550</t>
  </si>
  <si>
    <t xml:space="preserve">SMART CENTRO PILAR                                          </t>
  </si>
  <si>
    <t>49.826.083 DORGIVAL VELOSO DA SILVA FILH</t>
  </si>
  <si>
    <t xml:space="preserve">dogeveloso10@gmail.com                                                                                                                                </t>
  </si>
  <si>
    <t>10 R Dr Jose Lages Filho</t>
  </si>
  <si>
    <t>Cha Do Pilar</t>
  </si>
  <si>
    <t>Pilar</t>
  </si>
  <si>
    <t>57150000</t>
  </si>
  <si>
    <t>-9.6016711</t>
  </si>
  <si>
    <t>-35.9511275</t>
  </si>
  <si>
    <t xml:space="preserve">SMART FAVORITO NATAL                                        </t>
  </si>
  <si>
    <t xml:space="preserve">TOUTI PERFUMARIA E COSMETICOS 4 LTDA    </t>
  </si>
  <si>
    <t>Av Engenheiro Roberto Freire</t>
  </si>
  <si>
    <t>Capim Macio</t>
  </si>
  <si>
    <t>59078600</t>
  </si>
  <si>
    <t>-5.8603555</t>
  </si>
  <si>
    <t>-35.1930639</t>
  </si>
  <si>
    <t xml:space="preserve">BURITI SHOPPING MOGI GUACU                                  </t>
  </si>
  <si>
    <t xml:space="preserve">J J EMPREENDIMENTOS LTDA                </t>
  </si>
  <si>
    <t xml:space="preserve">julianapetrin2020@gmail.com                                                                                                                           </t>
  </si>
  <si>
    <t>Rua Francisco Franco De Godoy Bueno</t>
  </si>
  <si>
    <t>Imóvel Pedregulhal</t>
  </si>
  <si>
    <t>Mogi Guaçu</t>
  </si>
  <si>
    <t>13845180</t>
  </si>
  <si>
    <t>-22.3675469</t>
  </si>
  <si>
    <t>-46.9536635</t>
  </si>
  <si>
    <t xml:space="preserve">LOJA - SHOP ARICANDUVA                                      </t>
  </si>
  <si>
    <t>Avenida Aricanduva</t>
  </si>
  <si>
    <t>1 Piso Q1 Piso Quiosque Q18Auiosque Q18A</t>
  </si>
  <si>
    <t>Jardim Santa Terezinha (Zona L</t>
  </si>
  <si>
    <t>3527904</t>
  </si>
  <si>
    <t xml:space="preserve">FULL SHOP UNIAO DE OSASCO                                   </t>
  </si>
  <si>
    <t>Avenida Dos Autonomistas, De 896 A 1828 - Lado Par</t>
  </si>
  <si>
    <t>Loja Arc516</t>
  </si>
  <si>
    <t xml:space="preserve">SMART PATOS                                                 </t>
  </si>
  <si>
    <t>49.836.391 RITA DE CASSIA FERREIRA GOMES</t>
  </si>
  <si>
    <t xml:space="preserve">ritaferreirag2017@gmail.com                                                                                                                           </t>
  </si>
  <si>
    <t>Rua Doutor Pedro Firmino</t>
  </si>
  <si>
    <t>Loja 403</t>
  </si>
  <si>
    <t>Patos</t>
  </si>
  <si>
    <t>58700070</t>
  </si>
  <si>
    <t xml:space="preserve">FULL SHOP RIOMAR KENNEDY                                    </t>
  </si>
  <si>
    <t xml:space="preserve">REQUINTE COMERCIO DE JOIAS LTDA         </t>
  </si>
  <si>
    <t xml:space="preserve">paulogcastro@gmail.com                                                                                     </t>
  </si>
  <si>
    <t>Avenida Sargento Hermínio Sampaio</t>
  </si>
  <si>
    <t>Presidente Kennedy</t>
  </si>
  <si>
    <t>60355512</t>
  </si>
  <si>
    <t>-3.7277411</t>
  </si>
  <si>
    <t>-38.5680336</t>
  </si>
  <si>
    <t xml:space="preserve">SHOPPING FRANCO DA ROCHA                                    </t>
  </si>
  <si>
    <t xml:space="preserve">everton_cassiano98@hotmail.com                                                                          </t>
  </si>
  <si>
    <t>Quiosq37</t>
  </si>
  <si>
    <t xml:space="preserve">SMART SHOP MARIA ANTONIA GUARAPUAVA                         </t>
  </si>
  <si>
    <t xml:space="preserve">48.223.659 AUGUSTO HENRIQUE DE OLIVEIRA </t>
  </si>
  <si>
    <t xml:space="preserve">toutiperfumesguarapuavaoficial@gmail.com                                                                                                              </t>
  </si>
  <si>
    <t>Avenida Prefeito Moacir Júlio Silvestre</t>
  </si>
  <si>
    <t>Guarapuava</t>
  </si>
  <si>
    <t>85010090</t>
  </si>
  <si>
    <t>-25.3847810</t>
  </si>
  <si>
    <t>-51.4712593</t>
  </si>
  <si>
    <t xml:space="preserve">LOJA CENTRO ARARIPINA                                       </t>
  </si>
  <si>
    <t xml:space="preserve">50.251.682 GUSTAVO MUNIZ COELHO FALCAO  </t>
  </si>
  <si>
    <t>Araripina</t>
  </si>
  <si>
    <t>56280000</t>
  </si>
  <si>
    <t>-7.5100536</t>
  </si>
  <si>
    <t>-40.5533131</t>
  </si>
  <si>
    <t xml:space="preserve">PATIO PETROPOLIS SHOPPING                                   </t>
  </si>
  <si>
    <t>QPRESENTE COMERCIO DE PERFUMES E COSMETI</t>
  </si>
  <si>
    <t>Rua Marechal Deodoro</t>
  </si>
  <si>
    <t>Petrópolis</t>
  </si>
  <si>
    <t>25620150</t>
  </si>
  <si>
    <t>-22.5120829</t>
  </si>
  <si>
    <t>-43.1776916</t>
  </si>
  <si>
    <t xml:space="preserve">SMART CENTRO PAULISTA PE                                    </t>
  </si>
  <si>
    <t xml:space="preserve">supervisora.touti@gmail.com                                                             </t>
  </si>
  <si>
    <t xml:space="preserve">SMART MATEUS ACAILANDIA                                     </t>
  </si>
  <si>
    <t>48 990 207 ELANE MENESES VIEIRA DE ARAUJ</t>
  </si>
  <si>
    <t xml:space="preserve">elanemvieira@hotmail.com                                                                                                                              </t>
  </si>
  <si>
    <t>Rua Projetada 05</t>
  </si>
  <si>
    <t>Km 16 5</t>
  </si>
  <si>
    <t>Vila Jardim</t>
  </si>
  <si>
    <t>65912708</t>
  </si>
  <si>
    <t xml:space="preserve">SMART MIX MATEUS ACAILANDIA                                 </t>
  </si>
  <si>
    <t xml:space="preserve">LOJA SENHOR DO BONFIM                                       </t>
  </si>
  <si>
    <t xml:space="preserve">MARCIA ALVES DOS SANTOS DE PONTO NOVO   </t>
  </si>
  <si>
    <t xml:space="preserve">toutisenhordobonfim@gmail.com                                                                                                                         </t>
  </si>
  <si>
    <t>Pc Nova Do Congresso</t>
  </si>
  <si>
    <t>Quadra 04</t>
  </si>
  <si>
    <t>Senhor Do Bonfim</t>
  </si>
  <si>
    <t>48970000</t>
  </si>
  <si>
    <t>-10.4602509</t>
  </si>
  <si>
    <t>-40.1891510</t>
  </si>
  <si>
    <t xml:space="preserve">VARZEA GRANDE SHOPPING                                      </t>
  </si>
  <si>
    <t xml:space="preserve">HALANA MOREIRA DE OLIVEIRA              </t>
  </si>
  <si>
    <t xml:space="preserve">contatohalanaoliveira@gmail.com                                                                                                                       </t>
  </si>
  <si>
    <t>Avenida Filinto Müller (Lot Jd Aeroporto)</t>
  </si>
  <si>
    <t>Centro-Sul</t>
  </si>
  <si>
    <t>Várzea Grande</t>
  </si>
  <si>
    <t>MT</t>
  </si>
  <si>
    <t>78125044</t>
  </si>
  <si>
    <t>-15.6513121</t>
  </si>
  <si>
    <t>-56.1243536</t>
  </si>
  <si>
    <t xml:space="preserve">SMART SHOPPING CIDADE DAS ARTES                             </t>
  </si>
  <si>
    <t>R. Augusto De Almeida Batista</t>
  </si>
  <si>
    <t>Quiosq106 A Piso 1</t>
  </si>
  <si>
    <t>Chácaras São Marcos</t>
  </si>
  <si>
    <t>Embu</t>
  </si>
  <si>
    <t>6814010</t>
  </si>
  <si>
    <t xml:space="preserve">SMART VAREJAO DO PREÇO BANCARIOS                            </t>
  </si>
  <si>
    <t xml:space="preserve">41.243.185 MARCOS ALEXANDRE DA SILVA    </t>
  </si>
  <si>
    <t xml:space="preserve">marcosalex01@gmail.com                                                                                                                                </t>
  </si>
  <si>
    <t>Rua João Miguel De Souza</t>
  </si>
  <si>
    <t>Shopping Cidade Das Artes</t>
  </si>
  <si>
    <t>Ernesto Geisel</t>
  </si>
  <si>
    <t>58075075</t>
  </si>
  <si>
    <t>-7.1737481</t>
  </si>
  <si>
    <t>-34.8660864</t>
  </si>
  <si>
    <t xml:space="preserve">MINI FULL - SHOP SAO JOSE DOS CAMPOS                        </t>
  </si>
  <si>
    <t xml:space="preserve">ANDREA RODRIGUES ALVARENGA 36635135804  </t>
  </si>
  <si>
    <t xml:space="preserve">andrearodriguesalvarenga7@gmail.com                                                                                                                   </t>
  </si>
  <si>
    <t>Rua Rubião Júnior</t>
  </si>
  <si>
    <t>Apt 102 B</t>
  </si>
  <si>
    <t>São José Dos Campos</t>
  </si>
  <si>
    <t>12210903</t>
  </si>
  <si>
    <t>-23.1843915</t>
  </si>
  <si>
    <t>-45.8859561</t>
  </si>
  <si>
    <t xml:space="preserve">FULL SHOPPING HORTOLANDIA                                   </t>
  </si>
  <si>
    <t xml:space="preserve">VIP TOUTI HORTOLANDIA LTDA              </t>
  </si>
  <si>
    <t xml:space="preserve">toutihortolandia@hotmail.com                                                                                                                          </t>
  </si>
  <si>
    <t>Rua José Camilo De Camargo</t>
  </si>
  <si>
    <t>Remanso Campineiro</t>
  </si>
  <si>
    <t>Hortolândia</t>
  </si>
  <si>
    <t>13184494</t>
  </si>
  <si>
    <t>-22.8635008</t>
  </si>
  <si>
    <t>-47.2141367</t>
  </si>
  <si>
    <t xml:space="preserve">SMART SERRA TALHADA CENTRO                                  </t>
  </si>
  <si>
    <t>50.532.402 ERICKA SONARA FREIRE MONTEIRO</t>
  </si>
  <si>
    <t xml:space="preserve">zeildafreire@gmail.com                                                                                                                                </t>
  </si>
  <si>
    <t>Rua Enock Ignacio De Oliveira</t>
  </si>
  <si>
    <t>Nossa Senhora Da Penha</t>
  </si>
  <si>
    <t>Serra Talhada</t>
  </si>
  <si>
    <t>56903400</t>
  </si>
  <si>
    <t>-7.9908760</t>
  </si>
  <si>
    <t>-38.2994748</t>
  </si>
  <si>
    <t xml:space="preserve">SMART - ARAGUAIA SHOPPING                                   </t>
  </si>
  <si>
    <t xml:space="preserve">SHOPPING JARAGUÁ ARARAQUARA                                 </t>
  </si>
  <si>
    <t xml:space="preserve">administrativo@toutisp.com.br                                </t>
  </si>
  <si>
    <t>Avenida Alberto Benassi</t>
  </si>
  <si>
    <t>Jardim Bandeirantes</t>
  </si>
  <si>
    <t>Araraquara</t>
  </si>
  <si>
    <t>14804300</t>
  </si>
  <si>
    <t>-21.7839737</t>
  </si>
  <si>
    <t>-48.1988969</t>
  </si>
  <si>
    <t xml:space="preserve">ECONOMART PAULO AFONSO                                      </t>
  </si>
  <si>
    <t>Rua Rio Branco</t>
  </si>
  <si>
    <t>Quiosqq36</t>
  </si>
  <si>
    <t>48604220</t>
  </si>
  <si>
    <t xml:space="preserve">FULL  SHOPPING IGUATEMI                                     </t>
  </si>
  <si>
    <t>Bloco 12;Apt 03;Cond Encontro Das Aguas</t>
  </si>
  <si>
    <t xml:space="preserve">FULL SHOP GARDEN ARAPIRACA                                  </t>
  </si>
  <si>
    <t xml:space="preserve">PEC GARDEN COMERCIO DE COSMETICOS LTDA  </t>
  </si>
  <si>
    <t>R Jose Jailson Nunes</t>
  </si>
  <si>
    <t>Caititus</t>
  </si>
  <si>
    <t>Arapiraca</t>
  </si>
  <si>
    <t>57310-255</t>
  </si>
  <si>
    <t xml:space="preserve">ATACADO UNIDADE SP                                          </t>
  </si>
  <si>
    <t xml:space="preserve">administrativo@toutisp.com.br                                                                                      </t>
  </si>
  <si>
    <t>Rua Antônio De Macedo Soares, De 1521/1522 Ao Fim</t>
  </si>
  <si>
    <t>Quiosq10</t>
  </si>
  <si>
    <t>Campo Belo</t>
  </si>
  <si>
    <t>4607003</t>
  </si>
  <si>
    <t xml:space="preserve">SHOP INTERNACIONAL II                                       </t>
  </si>
  <si>
    <t xml:space="preserve">administrativo@toutisp.com.br                                                       </t>
  </si>
  <si>
    <t>Rodovia Presidente Dutra</t>
  </si>
  <si>
    <t>Vila Endres</t>
  </si>
  <si>
    <t>7042040</t>
  </si>
  <si>
    <t xml:space="preserve">ITAQUERA II                                                 </t>
  </si>
  <si>
    <t xml:space="preserve">boletossp@touticosmetics.com.br                                                                   </t>
  </si>
  <si>
    <t>Saída 225 - 1º Piso - Qsq Touti 2</t>
  </si>
  <si>
    <t xml:space="preserve">FULL SHOP ARICANDUVA                                       </t>
  </si>
  <si>
    <t xml:space="preserve">administrativo@toutisp.com.br                                           </t>
  </si>
  <si>
    <t xml:space="preserve">SMART GALERIA ZE VIANA                                      </t>
  </si>
  <si>
    <t>Rua Da Conceição, De 179/180 A 975/976</t>
  </si>
  <si>
    <t>63010222</t>
  </si>
  <si>
    <t>-7.2044509</t>
  </si>
  <si>
    <t>-39.3143397</t>
  </si>
  <si>
    <t xml:space="preserve">SMART CARREFOUR SAO VICENTE                                 </t>
  </si>
  <si>
    <t xml:space="preserve">MOMENTUM PERFUMARIA LTDA                </t>
  </si>
  <si>
    <t xml:space="preserve">momentumperfumes1@gmail.com                                                                             </t>
  </si>
  <si>
    <t>Avenida Prefeito José Monteiro</t>
  </si>
  <si>
    <t>Jardim Independência</t>
  </si>
  <si>
    <t>São Vicente</t>
  </si>
  <si>
    <t>11380001</t>
  </si>
  <si>
    <t>-23.9632270</t>
  </si>
  <si>
    <t>-46.3751089</t>
  </si>
  <si>
    <t xml:space="preserve">SMART LOJAO DE SANTA CRUZ                                   </t>
  </si>
  <si>
    <t>50.867.822 ANTONIA PEREIRA DE ARAUJO SOU</t>
  </si>
  <si>
    <t>Box</t>
  </si>
  <si>
    <t xml:space="preserve">STRONG CENTRO BOA VISTA                                     </t>
  </si>
  <si>
    <t>SULIMARA DA CONCEICAO FONSECA 8180444023</t>
  </si>
  <si>
    <t xml:space="preserve">sulimarasilva43@gmail.com                                                                                                                             </t>
  </si>
  <si>
    <t>Rua Expedito Francisco Da Silva</t>
  </si>
  <si>
    <t>Box Container Touti Cosmeticos</t>
  </si>
  <si>
    <t>Doutor Sílvio Leite</t>
  </si>
  <si>
    <t>RR</t>
  </si>
  <si>
    <t>69313-502</t>
  </si>
  <si>
    <t xml:space="preserve">SMART SUPER FEIRAO CANINDE                                  </t>
  </si>
  <si>
    <t xml:space="preserve">FGR EMPREENDIMENTOS LTDA                </t>
  </si>
  <si>
    <t xml:space="preserve">gabrielsousadm@outlook.com                                                                                                                            </t>
  </si>
  <si>
    <t>Joao Pinto Damasceno</t>
  </si>
  <si>
    <t>Quiosqq1 Anexo Assai Atacadao</t>
  </si>
  <si>
    <t>62700000</t>
  </si>
  <si>
    <t>-4.3547946</t>
  </si>
  <si>
    <t>-39.3108516</t>
  </si>
  <si>
    <t xml:space="preserve">MINI FULL MACAIBA CENTRO                                    </t>
  </si>
  <si>
    <t>Quiosq3</t>
  </si>
  <si>
    <t xml:space="preserve">SMART CENTRO FRANCA                                         </t>
  </si>
  <si>
    <t xml:space="preserve">NAVAS COSMETICOS LTDA                   </t>
  </si>
  <si>
    <t xml:space="preserve">carol@carolcosmeticos.com.br                                                                                                                          </t>
  </si>
  <si>
    <t>Rua Do Comércio</t>
  </si>
  <si>
    <t>14400660</t>
  </si>
  <si>
    <t>-20.5330552</t>
  </si>
  <si>
    <t>-47.4008270</t>
  </si>
  <si>
    <t xml:space="preserve">SMART METRO CARIOCA                                         </t>
  </si>
  <si>
    <t xml:space="preserve">PERFUMARIA M&amp;B ARARIBOIA LTDA           </t>
  </si>
  <si>
    <t>Largo Da Carioca</t>
  </si>
  <si>
    <t>20050020</t>
  </si>
  <si>
    <t xml:space="preserve">FULL SHOPPING EUSEBIO                                       </t>
  </si>
  <si>
    <t xml:space="preserve">IGOR M. S. PEDROSO LTDA - ME            </t>
  </si>
  <si>
    <t>Avenida Eusébio De Queiroz</t>
  </si>
  <si>
    <t>Q Mu 17 Estacao Metro Carioca</t>
  </si>
  <si>
    <t>Tamatanduba</t>
  </si>
  <si>
    <t>Eusébio</t>
  </si>
  <si>
    <t>61768680</t>
  </si>
  <si>
    <t>-3.8729723</t>
  </si>
  <si>
    <t>-38.4648737</t>
  </si>
  <si>
    <t xml:space="preserve">SMART SHOP TOTAL                                            </t>
  </si>
  <si>
    <t xml:space="preserve">GABRIEL DE OLIVEIRA SILVA LTDA          </t>
  </si>
  <si>
    <t xml:space="preserve">touticontas@gmail.com                                                                                          </t>
  </si>
  <si>
    <t>Rua Mauricio De Nassau</t>
  </si>
  <si>
    <t>Quiosq019 Touti</t>
  </si>
  <si>
    <t>Nova Rússia</t>
  </si>
  <si>
    <t>Ponta Grossa</t>
  </si>
  <si>
    <t>84070330</t>
  </si>
  <si>
    <t>-25.0748054</t>
  </si>
  <si>
    <t>-50.1722405</t>
  </si>
  <si>
    <t xml:space="preserve">SMART PARNAMIRIM SHOPPING                                   </t>
  </si>
  <si>
    <t xml:space="preserve">TOUTI PERFUMARIA E COSMETICOS 5 LTDA    </t>
  </si>
  <si>
    <t>Avenida Brigadeiro Everaldo Breves</t>
  </si>
  <si>
    <t>Quiosq02</t>
  </si>
  <si>
    <t>59140200</t>
  </si>
  <si>
    <t>-5.9237301</t>
  </si>
  <si>
    <t>-35.2634843</t>
  </si>
  <si>
    <t>Shopping Conquista Sul</t>
  </si>
  <si>
    <t>Avenida Juracy Magalhaes 3340</t>
  </si>
  <si>
    <t>Felicia</t>
  </si>
  <si>
    <t xml:space="preserve">SMART CENTRO SURUBIM                                        </t>
  </si>
  <si>
    <t>51.347.691 VITORIA VALDETE DA SILVA COST</t>
  </si>
  <si>
    <t xml:space="preserve">vitoriacosta11@icloud.com                                                                                        </t>
  </si>
  <si>
    <t>R Josefa Miranda De Farias</t>
  </si>
  <si>
    <t>Quiosq005</t>
  </si>
  <si>
    <t>Surubim</t>
  </si>
  <si>
    <t>55750000</t>
  </si>
  <si>
    <t>-7.8424353</t>
  </si>
  <si>
    <t>-35.7539722</t>
  </si>
  <si>
    <t xml:space="preserve">STRONG CARVALHO SUPER RIVERSIDE                             </t>
  </si>
  <si>
    <t>51.409.689 MARIA DO CARMO DA COSTA E SIL</t>
  </si>
  <si>
    <t>Riverside Walk, Avenida Ininga, 1201</t>
  </si>
  <si>
    <t>1</t>
  </si>
  <si>
    <t>Jóquei</t>
  </si>
  <si>
    <t>64048900</t>
  </si>
  <si>
    <t>-5.0784894</t>
  </si>
  <si>
    <t>-42.7948062</t>
  </si>
  <si>
    <t xml:space="preserve">TAQUARA PLAZA SHOPPING                                      </t>
  </si>
  <si>
    <t xml:space="preserve">TOUTI VIP TAQUARA RJ LTDA               </t>
  </si>
  <si>
    <t>Estrada Rodrigues Caldas</t>
  </si>
  <si>
    <t>Taquara</t>
  </si>
  <si>
    <t>22713372</t>
  </si>
  <si>
    <t>-22.9233101</t>
  </si>
  <si>
    <t>-43.3825584</t>
  </si>
  <si>
    <t xml:space="preserve">SMART V3 MATEUS CAXIAS                                      </t>
  </si>
  <si>
    <t xml:space="preserve">J SOUSA SANTOS COMERCIO                 </t>
  </si>
  <si>
    <t>Avenida Central</t>
  </si>
  <si>
    <t>Refinaria</t>
  </si>
  <si>
    <t>Caxias</t>
  </si>
  <si>
    <t>65600175</t>
  </si>
  <si>
    <t>-4.8585552</t>
  </si>
  <si>
    <t>-43.3486556</t>
  </si>
  <si>
    <t xml:space="preserve">PASSEIO DAS AGUAS SHOP                                      </t>
  </si>
  <si>
    <t>PASSEIO DAS AGUAS COMERCIO DE PERFUMES L</t>
  </si>
  <si>
    <t>Avenida Perimetral Norte</t>
  </si>
  <si>
    <t>Fazenda Criméia Caveiras</t>
  </si>
  <si>
    <t>74593841</t>
  </si>
  <si>
    <t xml:space="preserve">SMART NUNES PEIXOTO                                         </t>
  </si>
  <si>
    <t>51.593.668 JACQUELINE NOGUEIRA DOS SANTO</t>
  </si>
  <si>
    <t xml:space="preserve">jjperfumesecosmeticos2023@gmail.com                                                                                                                   </t>
  </si>
  <si>
    <t>10 R Monte Alegre</t>
  </si>
  <si>
    <t>Quiosqmik 707</t>
  </si>
  <si>
    <t>Nossa Senhora Da Glória</t>
  </si>
  <si>
    <t>49680000</t>
  </si>
  <si>
    <t>-10.2188811</t>
  </si>
  <si>
    <t>-37.4199759</t>
  </si>
  <si>
    <t xml:space="preserve">SMART MISTER SHOPPING                                       </t>
  </si>
  <si>
    <t xml:space="preserve">TOUTI JF LTDA                           </t>
  </si>
  <si>
    <t xml:space="preserve">josiana_kassia@yahoo.com.br                                                                                                         </t>
  </si>
  <si>
    <t>Anexo Nunes Peixoto</t>
  </si>
  <si>
    <t>Juiz De Fora</t>
  </si>
  <si>
    <t>36016-000</t>
  </si>
  <si>
    <t xml:space="preserve">SMART CAMINO SUPERMERCADO ITAPECURU                         </t>
  </si>
  <si>
    <t>51 677 959 RAIMUNDA ANGELICA CUNHA MENES</t>
  </si>
  <si>
    <t xml:space="preserve">angelicacmeneses04@gmail.com                                                                                                                          </t>
  </si>
  <si>
    <t>Rua Miguel Fiquene</t>
  </si>
  <si>
    <t>Loja 137</t>
  </si>
  <si>
    <t>Aviacao</t>
  </si>
  <si>
    <t>Itapecuru Mirim</t>
  </si>
  <si>
    <t>65485000</t>
  </si>
  <si>
    <t>-3.3973569</t>
  </si>
  <si>
    <t>-44.3560724</t>
  </si>
  <si>
    <t xml:space="preserve">SMART LAGOA GRANDE                                          </t>
  </si>
  <si>
    <t>TOUTI COSMETICOS E PERFUMARIA IMPORTADOS</t>
  </si>
  <si>
    <t>Rua Joaquim Nabuco</t>
  </si>
  <si>
    <t>Lagoa Grande</t>
  </si>
  <si>
    <t>56395000</t>
  </si>
  <si>
    <t>-8.9930649</t>
  </si>
  <si>
    <t>-40.2716452</t>
  </si>
  <si>
    <t xml:space="preserve">CENTRO IPIRA                                                </t>
  </si>
  <si>
    <t>Insc 15.212 9</t>
  </si>
  <si>
    <t xml:space="preserve">CONCEIÇÃO DO COITE                                          </t>
  </si>
  <si>
    <t>R Conselheiro Junqueira Ayres</t>
  </si>
  <si>
    <t xml:space="preserve">SHOP PATIO DEL SOL                                          </t>
  </si>
  <si>
    <t xml:space="preserve">SMART CARREFOUR SAO CAETANO DO SUL                          </t>
  </si>
  <si>
    <t xml:space="preserve">ALAN VITORIANO LINS LTDA                </t>
  </si>
  <si>
    <t xml:space="preserve">alan.30.lins@gmail.com                                                                                                         </t>
  </si>
  <si>
    <t>Rua Aquidaban</t>
  </si>
  <si>
    <t>Fundação</t>
  </si>
  <si>
    <t>São Caetano Do Sul</t>
  </si>
  <si>
    <t>03205-060</t>
  </si>
  <si>
    <t xml:space="preserve">SMART MIX MATEUS PINHEIRO                                   </t>
  </si>
  <si>
    <t xml:space="preserve">51 703 260 CLEYCIANE MARQUES AROUCHA    </t>
  </si>
  <si>
    <t xml:space="preserve">ciannemarques@hotmail.com                                                                                                                             </t>
  </si>
  <si>
    <t>Pinheiro</t>
  </si>
  <si>
    <t>Fomento</t>
  </si>
  <si>
    <t>65200000</t>
  </si>
  <si>
    <t>-2.5270459</t>
  </si>
  <si>
    <t>-45.0866463</t>
  </si>
  <si>
    <t xml:space="preserve">SMART BREVES I                                              </t>
  </si>
  <si>
    <t xml:space="preserve">SILVA COMERCIO DE ARTIGOS DE FESTA LTDA </t>
  </si>
  <si>
    <t xml:space="preserve">ediealana@gmail.com                                                                                                                                   </t>
  </si>
  <si>
    <t>Alameda Abmael Albuquerque</t>
  </si>
  <si>
    <t>Arilene</t>
  </si>
  <si>
    <t>68800000</t>
  </si>
  <si>
    <t>-1.6803600</t>
  </si>
  <si>
    <t>-50.4790850</t>
  </si>
  <si>
    <t xml:space="preserve">SMART SANTAREM IMPORTADOS II                                </t>
  </si>
  <si>
    <t>Travessa Quinze De Novembro</t>
  </si>
  <si>
    <t>68005290</t>
  </si>
  <si>
    <t>-2.4178889</t>
  </si>
  <si>
    <t>-54.7127601</t>
  </si>
  <si>
    <t xml:space="preserve">LOJA NOVO SHOP CENTER                                       </t>
  </si>
  <si>
    <t>MM4 COMERCIO DE COSMESTICOS SOCIEDADE UN</t>
  </si>
  <si>
    <t xml:space="preserve">milena@toutisp.com.br                                                                 </t>
  </si>
  <si>
    <t>Avenida Presidente Kennedy</t>
  </si>
  <si>
    <t>Ribeirânia</t>
  </si>
  <si>
    <t>Ribeirão Preto</t>
  </si>
  <si>
    <t xml:space="preserve">SMART BREVES II                                             </t>
  </si>
  <si>
    <t>Quiosqarc 228</t>
  </si>
  <si>
    <t>Breves</t>
  </si>
  <si>
    <t xml:space="preserve">GBARBOSA PRACA DA BANDEIRA                                  </t>
  </si>
  <si>
    <t xml:space="preserve">L G DA COSTA PEDROSO LTDA               </t>
  </si>
  <si>
    <t>Avenida Doutor Mauro Mota</t>
  </si>
  <si>
    <t>Cond Vila Olimpica</t>
  </si>
  <si>
    <t>Ginasio - 01</t>
  </si>
  <si>
    <t>Serrinha</t>
  </si>
  <si>
    <t>48700000</t>
  </si>
  <si>
    <t>-11.6619900</t>
  </si>
  <si>
    <t>-39.0034021</t>
  </si>
  <si>
    <t xml:space="preserve">GBARBOSA PRACA PADRE ALFREDO                                </t>
  </si>
  <si>
    <t>Avenida Doutor Mauto Mota</t>
  </si>
  <si>
    <t xml:space="preserve">SAO BERNARDO PLAZA SHOPPING                                 </t>
  </si>
  <si>
    <t xml:space="preserve">milena@toutisp.com.br                                                             </t>
  </si>
  <si>
    <t>Avenida Do Taboão, Até 3011/3012</t>
  </si>
  <si>
    <t>Taboão</t>
  </si>
  <si>
    <t>São Bernardo Do Campo</t>
  </si>
  <si>
    <t>9655000</t>
  </si>
  <si>
    <t xml:space="preserve">SMART POSTO VALEN                                           </t>
  </si>
  <si>
    <t>LEIDIANE SOUSA BEZERRA DE LIMA 039126963</t>
  </si>
  <si>
    <t xml:space="preserve">mirlanebezerra12@gmail.com                                                                                                                            </t>
  </si>
  <si>
    <t>Rua Grande</t>
  </si>
  <si>
    <t>Quiosqqsqtouti</t>
  </si>
  <si>
    <t>65020251</t>
  </si>
  <si>
    <t>-2.5323978</t>
  </si>
  <si>
    <t>-44.2914495</t>
  </si>
  <si>
    <t xml:space="preserve">SMART DORMENTES PE                                          </t>
  </si>
  <si>
    <t>Loja 04 D Terreo</t>
  </si>
  <si>
    <t xml:space="preserve">SHOP SALGUEIRO                                              </t>
  </si>
  <si>
    <t xml:space="preserve">TOUTI PERFUMES SALGUEIRO LTDA           </t>
  </si>
  <si>
    <t xml:space="preserve">mayaramilenaouricuri@gmail.com                                                                                                                        </t>
  </si>
  <si>
    <t>Av Antonio Angelim</t>
  </si>
  <si>
    <t>Terreob06 Quiosqtouti</t>
  </si>
  <si>
    <t>Santo Antonio</t>
  </si>
  <si>
    <t>Salgueiro</t>
  </si>
  <si>
    <t>56000000</t>
  </si>
  <si>
    <t>-8.0726731</t>
  </si>
  <si>
    <t>-39.1269719</t>
  </si>
  <si>
    <t xml:space="preserve">SMART  ATACADAO SAO LOURENCO DA MATA                        </t>
  </si>
  <si>
    <t xml:space="preserve">52.019.923 RENATO FERNANDES SIMIAO      </t>
  </si>
  <si>
    <t xml:space="preserve">renatofernandes2018j5@gmail.com                                                                                                                       </t>
  </si>
  <si>
    <t>Rua Doutor Pedro Augusto Correia De Araújo</t>
  </si>
  <si>
    <t>Quiosqq144</t>
  </si>
  <si>
    <t>São Lourenço Da Mata</t>
  </si>
  <si>
    <t>54735110</t>
  </si>
  <si>
    <t>-7.9946095</t>
  </si>
  <si>
    <t>-35.0394103</t>
  </si>
  <si>
    <t xml:space="preserve">FULL SHOPPING PLAZA RIO DAS OSTRAS                          </t>
  </si>
  <si>
    <t>FABIO LUIS DO N PIRES ALUGUEL E COMERCIO</t>
  </si>
  <si>
    <t xml:space="preserve">brinkacaoinfantil@gmail.com                                                                                                                           </t>
  </si>
  <si>
    <t>Avenida Geremario Dantas</t>
  </si>
  <si>
    <t>22735-015</t>
  </si>
  <si>
    <t xml:space="preserve">LOJA SOBRAL                                                 </t>
  </si>
  <si>
    <t xml:space="preserve">MAIRA Y. S. PEDROSO LTDA                </t>
  </si>
  <si>
    <t>Av Monsenhor Jose Aloisio Pinto</t>
  </si>
  <si>
    <t>Dom Expedito</t>
  </si>
  <si>
    <t>62050255</t>
  </si>
  <si>
    <t xml:space="preserve">LOJA ARAPIRACA                                              </t>
  </si>
  <si>
    <t xml:space="preserve">PEC CENTRO COMERCIO DE COSMETICOS LTDA  </t>
  </si>
  <si>
    <t>Rua Estudante José De Oliveira Leite</t>
  </si>
  <si>
    <t>57300310</t>
  </si>
  <si>
    <t>-9.7529635</t>
  </si>
  <si>
    <t>-36.6590988</t>
  </si>
  <si>
    <t xml:space="preserve">SMART GRANDE LIMOEIRO                                       </t>
  </si>
  <si>
    <t xml:space="preserve">FHM PERFUMARIA LTDA                     </t>
  </si>
  <si>
    <t>Avenida Henrique De Holanda</t>
  </si>
  <si>
    <t>Redenção</t>
  </si>
  <si>
    <t>55612901</t>
  </si>
  <si>
    <t>-8.1166887</t>
  </si>
  <si>
    <t>-35.2710095</t>
  </si>
  <si>
    <t xml:space="preserve">SMART CENTRO UNIAO                                          </t>
  </si>
  <si>
    <t xml:space="preserve">52.115.161 MAXWELL FELIX DO NASCIMENTO  </t>
  </si>
  <si>
    <t xml:space="preserve">luanaemidiosf@icloud.com                                                                                              </t>
  </si>
  <si>
    <t>10 R Tomaz Goncalves</t>
  </si>
  <si>
    <t>Gl B 1</t>
  </si>
  <si>
    <t>União</t>
  </si>
  <si>
    <t>64120000</t>
  </si>
  <si>
    <t>-4.5892553</t>
  </si>
  <si>
    <t>-42.8593348</t>
  </si>
  <si>
    <t xml:space="preserve">FULL AGUAS LINDAS SHOPPING                                  </t>
  </si>
  <si>
    <t xml:space="preserve">viptouti.bsb@gmail.com                                                                                                 </t>
  </si>
  <si>
    <t>Alameda Santa Luzia</t>
  </si>
  <si>
    <t>Mansões Centro Oeste</t>
  </si>
  <si>
    <t>Águas Lindas De Goiás</t>
  </si>
  <si>
    <t>72915705</t>
  </si>
  <si>
    <t xml:space="preserve">SMART CENTRO MAGE                                           </t>
  </si>
  <si>
    <t xml:space="preserve">R&amp;E TOUTI PERFUMARIA LTDA               </t>
  </si>
  <si>
    <t xml:space="preserve">elizabellefernandes@gmail.com                                                                                                                         </t>
  </si>
  <si>
    <t>Rua Santa Elisa</t>
  </si>
  <si>
    <t>Quiosqqt019</t>
  </si>
  <si>
    <t>Piabetá (Inhomirim)</t>
  </si>
  <si>
    <t>Magé</t>
  </si>
  <si>
    <t>25931762</t>
  </si>
  <si>
    <t>-22.6108101</t>
  </si>
  <si>
    <t>-43.1780340</t>
  </si>
  <si>
    <t xml:space="preserve">SMART EXTREMOZ                                              </t>
  </si>
  <si>
    <t xml:space="preserve">51.976.233 IVOMAR DE LIMA GODEIRO       </t>
  </si>
  <si>
    <t xml:space="preserve">touti.extremoz@gmail.com                                                                                                    </t>
  </si>
  <si>
    <t>R Joaquim De Gois</t>
  </si>
  <si>
    <t>Stand Loja B</t>
  </si>
  <si>
    <t>Extremoz</t>
  </si>
  <si>
    <t>59575-970</t>
  </si>
  <si>
    <t xml:space="preserve">MINI FULL NORTH SHOPPING BARRETOS                           </t>
  </si>
  <si>
    <t xml:space="preserve">NMM FERNANDES COSMETICOS E PRODUTOS     </t>
  </si>
  <si>
    <t xml:space="preserve">toutiadm.ituverava@gmail.com                                                                                                                          </t>
  </si>
  <si>
    <t>Via Conselheiro Antônio Prado, Lado Par</t>
  </si>
  <si>
    <t>Pedro Cavalini</t>
  </si>
  <si>
    <t>Barretos</t>
  </si>
  <si>
    <t>14784200</t>
  </si>
  <si>
    <t>-20.5781950</t>
  </si>
  <si>
    <t>-48.5571363</t>
  </si>
  <si>
    <t xml:space="preserve">SMART ATAKAREJO SANTA CASA                                  </t>
  </si>
  <si>
    <t>Av Dr Lauro Mota</t>
  </si>
  <si>
    <t>Quiosq30</t>
  </si>
  <si>
    <t>Ginasio 01</t>
  </si>
  <si>
    <t xml:space="preserve">SMART ATACAREJO CIDADE NOVA                                 </t>
  </si>
  <si>
    <t xml:space="preserve">SMART PANTANAL SHOPPING                                     </t>
  </si>
  <si>
    <t>Avenida Historiador Rubens De Mendonça</t>
  </si>
  <si>
    <t>Jardim Aclimação</t>
  </si>
  <si>
    <t>Cuiabá</t>
  </si>
  <si>
    <t>78050280</t>
  </si>
  <si>
    <t>-15.5618627</t>
  </si>
  <si>
    <t>-56.0633899</t>
  </si>
  <si>
    <t xml:space="preserve">SMART CENTRO CRUZ DAS ALMAS                                 </t>
  </si>
  <si>
    <t xml:space="preserve">FULL SHOPPING SUL VALPARAISO                                </t>
  </si>
  <si>
    <t xml:space="preserve">TOUTI PERFUMARIA SHOPPING SUL LTDA      </t>
  </si>
  <si>
    <t xml:space="preserve">viptouti.bsb@gmail.com                                                                                               </t>
  </si>
  <si>
    <t>Quadra Quadra 1</t>
  </si>
  <si>
    <t>Parque Esplanada Iii</t>
  </si>
  <si>
    <t>Valparaíso De Goiás</t>
  </si>
  <si>
    <t>72876301</t>
  </si>
  <si>
    <t>-16.0832569</t>
  </si>
  <si>
    <t>-47.9722313</t>
  </si>
  <si>
    <t xml:space="preserve">FULL IANDE SHOPPING                                         </t>
  </si>
  <si>
    <t xml:space="preserve">J V S BARRETO PINHEIRO                  </t>
  </si>
  <si>
    <t xml:space="preserve">jvpinheiro40@hotmail.com                                                                                                                              </t>
  </si>
  <si>
    <t>Avenida Edson Da Mota Correia, De 521/522 Ao Fim</t>
  </si>
  <si>
    <t>Quiosqqt 43B</t>
  </si>
  <si>
    <t>Caucaia</t>
  </si>
  <si>
    <t>61600040</t>
  </si>
  <si>
    <t>-3.7342989</t>
  </si>
  <si>
    <t>-38.6608237</t>
  </si>
  <si>
    <t xml:space="preserve">SMART MIX MATEUS JUAZEIRO DO NORTE                          </t>
  </si>
  <si>
    <t xml:space="preserve">ANA CYBELE QUEIROZ CUNHA 04618630302    </t>
  </si>
  <si>
    <t xml:space="preserve">touticariri@gamail.com                                                                                                                                </t>
  </si>
  <si>
    <t>Rua Da Conceição</t>
  </si>
  <si>
    <t>Quiosq1</t>
  </si>
  <si>
    <t xml:space="preserve">SMART CENTRO SAO FIDELIS                                    </t>
  </si>
  <si>
    <t>52.265.902 ALESSANDRO DOS SANTOS BARCELO</t>
  </si>
  <si>
    <t xml:space="preserve">tatiane.silvarapozo@gmail.com                                                                                                                         </t>
  </si>
  <si>
    <t>Avenida Governador Roberto Silveira</t>
  </si>
  <si>
    <t>Barao De Macaubas</t>
  </si>
  <si>
    <t>São Fidélis</t>
  </si>
  <si>
    <t>28400000</t>
  </si>
  <si>
    <t>-21.6467054</t>
  </si>
  <si>
    <t>-41.7463412</t>
  </si>
  <si>
    <t xml:space="preserve">SMART MATEUS AREIAS                                         </t>
  </si>
  <si>
    <t xml:space="preserve">52.294.280 GRACILENE XAVIER MUSS        </t>
  </si>
  <si>
    <t xml:space="preserve">toutimixpe@gmail.com                                                                                                                                  </t>
  </si>
  <si>
    <t>Avenida Doutor José Rufino</t>
  </si>
  <si>
    <t>Barro</t>
  </si>
  <si>
    <t>50900660</t>
  </si>
  <si>
    <t>-8.0928751</t>
  </si>
  <si>
    <t>-34.9423554</t>
  </si>
  <si>
    <t xml:space="preserve">SMART GALERIA MAKTUB                                        </t>
  </si>
  <si>
    <t xml:space="preserve">INSIGHT PERFUMARIA LTDA                 </t>
  </si>
  <si>
    <t xml:space="preserve">insightperfumes2024@gmail.com                                                                                                                         </t>
  </si>
  <si>
    <t>Rua Alexandre Martins</t>
  </si>
  <si>
    <t>Quiosqtmp010</t>
  </si>
  <si>
    <t>Aparecida</t>
  </si>
  <si>
    <t>Santos</t>
  </si>
  <si>
    <t>11025200</t>
  </si>
  <si>
    <t>-23.9706908</t>
  </si>
  <si>
    <t>-46.3055000</t>
  </si>
  <si>
    <t xml:space="preserve">SMART CARREFOUR PELOTAS                                     </t>
  </si>
  <si>
    <t xml:space="preserve">DRAGO COSMETICOS LTDA                   </t>
  </si>
  <si>
    <t xml:space="preserve">joaobdrago@hotmail.com                                                                                                                                </t>
  </si>
  <si>
    <t>Av. Pres. Juscelino Kubitscheck De Oliveira</t>
  </si>
  <si>
    <t>Pelotas</t>
  </si>
  <si>
    <t>96015140</t>
  </si>
  <si>
    <t>-31.7631353</t>
  </si>
  <si>
    <t>-52.3330270</t>
  </si>
  <si>
    <t xml:space="preserve">SMART MATEUS PEIXINHOS                                      </t>
  </si>
  <si>
    <t xml:space="preserve">52.354.307 GERALDO HENRIQUE DE OLIVEIRA </t>
  </si>
  <si>
    <t xml:space="preserve">toutimixpe2@gmail.com                                                                                                                                 </t>
  </si>
  <si>
    <t>Avenida Pau-Brasil</t>
  </si>
  <si>
    <t>Carrefour Pelotas</t>
  </si>
  <si>
    <t>Dois Carneiros</t>
  </si>
  <si>
    <t>54280484</t>
  </si>
  <si>
    <t>-8.1185562</t>
  </si>
  <si>
    <t>-34.9689855</t>
  </si>
  <si>
    <t xml:space="preserve">SMART CENTRO PIRIPIRI                                       </t>
  </si>
  <si>
    <t xml:space="preserve">SMART MATEUS ITAPIPOCA                                      </t>
  </si>
  <si>
    <t xml:space="preserve">SMART MATEUS CAMPINA GRANDE                                 </t>
  </si>
  <si>
    <t xml:space="preserve">LUCIENE G DA COSTA LTDA                 </t>
  </si>
  <si>
    <t xml:space="preserve">SMART MATEUS CABEDELO                                       </t>
  </si>
  <si>
    <t>Rua Wilson Gonçalves De Oliveira</t>
  </si>
  <si>
    <t>Itararé</t>
  </si>
  <si>
    <t>58410-575</t>
  </si>
  <si>
    <t xml:space="preserve">SMART MATEUS JOAO PESSOA                                    </t>
  </si>
  <si>
    <t xml:space="preserve">SMART - CENTRO OROCO                                        </t>
  </si>
  <si>
    <t xml:space="preserve">52.363.650 RAYANE OLIVEIRA DE CARVALHO  </t>
  </si>
  <si>
    <t xml:space="preserve">kelinhamel@hotmail.com                                                                                                                                </t>
  </si>
  <si>
    <t>10Av Avenida Sao Sebastiao</t>
  </si>
  <si>
    <t>Orocó</t>
  </si>
  <si>
    <t>56170000</t>
  </si>
  <si>
    <t xml:space="preserve">SHOPPING CARIOCA II                                         </t>
  </si>
  <si>
    <t>MASTER COMERCIO DE PERFUMES E COSMETICOS</t>
  </si>
  <si>
    <t>Avenida Vicente De Carvalho</t>
  </si>
  <si>
    <t>Quiosq Quiosque 132, Lotes De 07 A 11 Do Pal 21634</t>
  </si>
  <si>
    <t>Vila Da Penha</t>
  </si>
  <si>
    <t>21210623</t>
  </si>
  <si>
    <t>-22.8488011</t>
  </si>
  <si>
    <t>-43.3068036</t>
  </si>
  <si>
    <t xml:space="preserve">MINIFULL TERMINAL CENTRAL UBERLANDIA                        </t>
  </si>
  <si>
    <t xml:space="preserve">WZO CONSULTORIA EM RH LTDA              </t>
  </si>
  <si>
    <t xml:space="preserve">wyllyam017@gmail.com                                                                                                                                  </t>
  </si>
  <si>
    <t>Rua Sul</t>
  </si>
  <si>
    <t>Nossa Senhora Das Graças</t>
  </si>
  <si>
    <t>Uberlândia</t>
  </si>
  <si>
    <t>38402158</t>
  </si>
  <si>
    <t>-18.8684728</t>
  </si>
  <si>
    <t>-48.2841997</t>
  </si>
  <si>
    <t xml:space="preserve">SMART SHOPPING PATIO ARVOREDO                               </t>
  </si>
  <si>
    <t xml:space="preserve">STERFANY VITORIANO ARAUJO               </t>
  </si>
  <si>
    <t xml:space="preserve">ster.liima@hotmail.com                                                                                                                                </t>
  </si>
  <si>
    <t>Avenida Presidente Costa E Silva</t>
  </si>
  <si>
    <t>Barroso</t>
  </si>
  <si>
    <t>60866-607</t>
  </si>
  <si>
    <t xml:space="preserve">SMART MATEUS JOAO PAULO                                     </t>
  </si>
  <si>
    <t>52 475 066 FRANCISCA JULYANA SA DE SOUSA</t>
  </si>
  <si>
    <t xml:space="preserve">julyanasousa2@gmail.com                                                                                                                               </t>
  </si>
  <si>
    <t>Rua Oito</t>
  </si>
  <si>
    <t>Planalto Vinhais I</t>
  </si>
  <si>
    <t>65070-630</t>
  </si>
  <si>
    <t xml:space="preserve">SHOPPING BANGU III                                          </t>
  </si>
  <si>
    <t xml:space="preserve">grazielly.padua@touticosmetics.com.br                                                                        </t>
  </si>
  <si>
    <t>R Fonseca</t>
  </si>
  <si>
    <t>Quiosque 34</t>
  </si>
  <si>
    <t>Bangu</t>
  </si>
  <si>
    <t>21820005</t>
  </si>
  <si>
    <t>-22.8779797</t>
  </si>
  <si>
    <t>-43.4655680</t>
  </si>
  <si>
    <t xml:space="preserve">FULL CAMARA SHOP                                            </t>
  </si>
  <si>
    <t xml:space="preserve">EFE COSMETICOS LTDA                     </t>
  </si>
  <si>
    <t xml:space="preserve">benfica.perfumaria@outlook.com                                                                                                                        </t>
  </si>
  <si>
    <t>Rua Manoel Honorato Da Costa</t>
  </si>
  <si>
    <t>Quiosque 48</t>
  </si>
  <si>
    <t>Vila Da Fábrica</t>
  </si>
  <si>
    <t>Camaragibe</t>
  </si>
  <si>
    <t>54759475</t>
  </si>
  <si>
    <t>-8.0141245</t>
  </si>
  <si>
    <t>-34.9733432</t>
  </si>
  <si>
    <t xml:space="preserve">SMART V3 PREZUNIC SANTA CRUZ                                </t>
  </si>
  <si>
    <t xml:space="preserve">51.844.115 MIRIAN SUICO SENA VENTURA    </t>
  </si>
  <si>
    <t>Rua Dom Pedro I</t>
  </si>
  <si>
    <t>23510010</t>
  </si>
  <si>
    <t>-22.9156225</t>
  </si>
  <si>
    <t>-43.6804076</t>
  </si>
  <si>
    <t xml:space="preserve">MINI FULL CARREFOUR PRAIAMAR                                </t>
  </si>
  <si>
    <t xml:space="preserve">STRONG GALERIA NM CENTER                                    </t>
  </si>
  <si>
    <t xml:space="preserve">RAFAELA BALBINO FERREIRA 13480760627    </t>
  </si>
  <si>
    <t xml:space="preserve">rafaela163ferreira@gmail.com                                                                                                                          </t>
  </si>
  <si>
    <t>Avenida Getúlio Vargas</t>
  </si>
  <si>
    <t>Carneirinhos</t>
  </si>
  <si>
    <t>João Monlevade</t>
  </si>
  <si>
    <t>35930003</t>
  </si>
  <si>
    <t>-19.8080185</t>
  </si>
  <si>
    <t>-43.1767179</t>
  </si>
  <si>
    <t xml:space="preserve">SMART AGUAS BELAS                                           </t>
  </si>
  <si>
    <t>Praça Nossa Sra. Da Conceição</t>
  </si>
  <si>
    <t>Águas Belas</t>
  </si>
  <si>
    <t>55340000</t>
  </si>
  <si>
    <t>-9.1113156</t>
  </si>
  <si>
    <t>-37.1225218</t>
  </si>
  <si>
    <t xml:space="preserve">MINI FULL PASSEIO SHOP CAMPO GRANDE                         </t>
  </si>
  <si>
    <t xml:space="preserve">M.M MORENO LTDA                         </t>
  </si>
  <si>
    <t>Rua Viúva Dantas</t>
  </si>
  <si>
    <t>23052090</t>
  </si>
  <si>
    <t>-22.9026271</t>
  </si>
  <si>
    <t>-43.5539142</t>
  </si>
  <si>
    <t xml:space="preserve">SMART GBARBOSA ESTANCIA                                     </t>
  </si>
  <si>
    <t>52.464.646 PATRICIA MOURA ARAUJO DE JESU</t>
  </si>
  <si>
    <t xml:space="preserve">saulosilvar7@gmail.com                                                                                                                                </t>
  </si>
  <si>
    <t>Avenida Raimundo Silva Souza Na Travessa 3</t>
  </si>
  <si>
    <t>11A</t>
  </si>
  <si>
    <t>Pav 1 2 3</t>
  </si>
  <si>
    <t>Alagoas</t>
  </si>
  <si>
    <t>Estância</t>
  </si>
  <si>
    <t>49200000</t>
  </si>
  <si>
    <t>-11.2682255</t>
  </si>
  <si>
    <t>-37.4378341</t>
  </si>
  <si>
    <t xml:space="preserve">SMART MIX MATEUS BENGUI                                     </t>
  </si>
  <si>
    <t xml:space="preserve">spolierdistribuicao@gmail.com                                                                                                                         </t>
  </si>
  <si>
    <t>Rua D 11 Qd 92</t>
  </si>
  <si>
    <t xml:space="preserve">SMART MIX MATEUS GUARABIRA                                  </t>
  </si>
  <si>
    <t xml:space="preserve">M JULIA DA COSTA SALVIANO LTDA          </t>
  </si>
  <si>
    <t>Avenida Otacilio Lira Cabral</t>
  </si>
  <si>
    <t>Areia Branca</t>
  </si>
  <si>
    <t>Guarabira</t>
  </si>
  <si>
    <t>58200000</t>
  </si>
  <si>
    <t>-6.8513982</t>
  </si>
  <si>
    <t xml:space="preserve">SMART SUPERMERCADO FORTALEZA BR                             </t>
  </si>
  <si>
    <t>DEBORAH SABRINA FRANCO DA SILVA 02793045</t>
  </si>
  <si>
    <t xml:space="preserve">silvadf75@hotmail.com                                                                                                                                 </t>
  </si>
  <si>
    <t>Rua Platão</t>
  </si>
  <si>
    <t>Sala 01</t>
  </si>
  <si>
    <t>Renascer</t>
  </si>
  <si>
    <t>68907140</t>
  </si>
  <si>
    <t>0.0784384</t>
  </si>
  <si>
    <t>-51.0524157</t>
  </si>
  <si>
    <t xml:space="preserve">SMART CENTRO SANTA LUZIA                                    </t>
  </si>
  <si>
    <t xml:space="preserve">52.486.649 DIEGO JUNIO DE SOUZA SANTOS  </t>
  </si>
  <si>
    <t xml:space="preserve">pscosmeticosok@gmail.com                                                                                        </t>
  </si>
  <si>
    <t>Avenida Adair De Souza</t>
  </si>
  <si>
    <t>Quadra582 Lote B1</t>
  </si>
  <si>
    <t>Belo Vale</t>
  </si>
  <si>
    <t>Santa Luzia</t>
  </si>
  <si>
    <t>33113010</t>
  </si>
  <si>
    <t>-19.7727882</t>
  </si>
  <si>
    <t>-43.9174993</t>
  </si>
  <si>
    <t xml:space="preserve">SMART TERMINAL PE15                                         </t>
  </si>
  <si>
    <t xml:space="preserve">MIRELLE DE A C LIMA TECNOLOGIA COMERCIO </t>
  </si>
  <si>
    <t xml:space="preserve">mirellecavalcanti@gmail.com                                                                                                                           </t>
  </si>
  <si>
    <t>Rua Limoeiro</t>
  </si>
  <si>
    <t>Bloco 21;Apt 304</t>
  </si>
  <si>
    <t>Jardim Brasil</t>
  </si>
  <si>
    <t>53290-070</t>
  </si>
  <si>
    <t xml:space="preserve">SMART ESTACAO CAMARAGIBE                                    </t>
  </si>
  <si>
    <t xml:space="preserve">SMART CENTRO ACOPIARA                                       </t>
  </si>
  <si>
    <t xml:space="preserve">35.004.395 DANIEL ALVES DANTAS          </t>
  </si>
  <si>
    <t xml:space="preserve">nieldantas18@gmail.com                                                                                                                                </t>
  </si>
  <si>
    <t>Rua Augusto Dias De Oliveira</t>
  </si>
  <si>
    <t>Loja 01 E 02 - Lj Suprimais</t>
  </si>
  <si>
    <t>Novo Juazeiro</t>
  </si>
  <si>
    <t>63031760</t>
  </si>
  <si>
    <t xml:space="preserve">SMART VITRINE DA TIJUCA                                     </t>
  </si>
  <si>
    <t xml:space="preserve">51.031.891 ALICE SANTOS SOUSA           </t>
  </si>
  <si>
    <t xml:space="preserve">alice_santos22@hotmail.com                                                                                                                            </t>
  </si>
  <si>
    <t>Estrada Paulo De Medeiros</t>
  </si>
  <si>
    <t>Água Santa</t>
  </si>
  <si>
    <t>20745220</t>
  </si>
  <si>
    <t>-22.9088700</t>
  </si>
  <si>
    <t>-43.3154298</t>
  </si>
  <si>
    <t xml:space="preserve">MINIFULL 3 AMERICAS                                         </t>
  </si>
  <si>
    <t>Avenida Brasília</t>
  </si>
  <si>
    <t>Quiosque 2A</t>
  </si>
  <si>
    <t>Jardim Das Américas</t>
  </si>
  <si>
    <t>78060601</t>
  </si>
  <si>
    <t>-15.6079032</t>
  </si>
  <si>
    <t>-56.0697396</t>
  </si>
  <si>
    <t xml:space="preserve">SMART MESTRE ALVARO                                         </t>
  </si>
  <si>
    <t xml:space="preserve">TOUTI PERFUMES MESTRE ALVARO LTDA       </t>
  </si>
  <si>
    <t xml:space="preserve">luciano.j.chano@gmail.com                                                                                                                             </t>
  </si>
  <si>
    <t>Avenida Joao Palacio</t>
  </si>
  <si>
    <t>Quiosq Qp-06</t>
  </si>
  <si>
    <t>Eurico Salles</t>
  </si>
  <si>
    <t>29160161</t>
  </si>
  <si>
    <t>-20.2394684</t>
  </si>
  <si>
    <t>-40.2740046</t>
  </si>
  <si>
    <t xml:space="preserve">SMART CENTRO TEOFILO OTONI                                  </t>
  </si>
  <si>
    <t xml:space="preserve">52.268.391 RENATA SOUZA DANTAS          </t>
  </si>
  <si>
    <t xml:space="preserve">marcelasouzadantas12@gmail.com                                                                                                                        </t>
  </si>
  <si>
    <t>Rua Epaminondas Otoni</t>
  </si>
  <si>
    <t>Teófilo Otoni</t>
  </si>
  <si>
    <t>39800013</t>
  </si>
  <si>
    <t>-17.8619405</t>
  </si>
  <si>
    <t>-41.5088547</t>
  </si>
  <si>
    <t xml:space="preserve">SMART AVELINO LOPES                                         </t>
  </si>
  <si>
    <t xml:space="preserve">50.665.708 EDSON MANGUEIRA GAMA         </t>
  </si>
  <si>
    <t xml:space="preserve">hellonpablo7@gmail.com                                                                                                                                </t>
  </si>
  <si>
    <t>Avenida Sérgio Gama</t>
  </si>
  <si>
    <t>Avelino Lopes</t>
  </si>
  <si>
    <t>64965000</t>
  </si>
  <si>
    <t>-10.1346855</t>
  </si>
  <si>
    <t>-43.9489525</t>
  </si>
  <si>
    <t xml:space="preserve">SMART CENTRO BARBALHA                                       </t>
  </si>
  <si>
    <t>52.861.007 ELBA LISLANIA FERNANDES SILVA</t>
  </si>
  <si>
    <t xml:space="preserve">rhtoutis@gmail.com                                                                                                                                    </t>
  </si>
  <si>
    <t>R Rua Adao Apolinario</t>
  </si>
  <si>
    <t>Barbalha</t>
  </si>
  <si>
    <t>63180-000</t>
  </si>
  <si>
    <t xml:space="preserve">SMART SHOPPING PINDA                                        </t>
  </si>
  <si>
    <t xml:space="preserve">52.359.456 ITALO DUQUE VECCHIO          </t>
  </si>
  <si>
    <t xml:space="preserve">italoduqueadm@gmail.com                                                                                                                               </t>
  </si>
  <si>
    <t>Rua Doutor Frederico Machado</t>
  </si>
  <si>
    <t>São Benedito</t>
  </si>
  <si>
    <t>Pindamonhangaba</t>
  </si>
  <si>
    <t>12422-051</t>
  </si>
  <si>
    <t xml:space="preserve">SMART CENTRO ITAPETINGA                                     </t>
  </si>
  <si>
    <t xml:space="preserve">52.923.382 ROBERT OLIVEIRA QUEIROZ      </t>
  </si>
  <si>
    <t xml:space="preserve">robertqueiroz60@gmail.com                                                                                                                             </t>
  </si>
  <si>
    <t>R J J Seabra</t>
  </si>
  <si>
    <t xml:space="preserve">SHOPPING BOA VISTA                                          </t>
  </si>
  <si>
    <t>Rua Jose De Alencar</t>
  </si>
  <si>
    <t>Quiosqestao Armenia</t>
  </si>
  <si>
    <t>50070075</t>
  </si>
  <si>
    <t>-8.0622595</t>
  </si>
  <si>
    <t>-34.8894504</t>
  </si>
  <si>
    <t xml:space="preserve">SMART EL CAMINO SUPERMERCADOS SAO MIGUEL DO GUAMA           </t>
  </si>
  <si>
    <t>Loja 27E Shopping Boa Vista Terreo 2 Etapa Quiosq 004E</t>
  </si>
  <si>
    <t xml:space="preserve">FULL NORTE SUL PLAZA                                        </t>
  </si>
  <si>
    <t xml:space="preserve">CONSAGRADUS NS PERFUMES LTDA            </t>
  </si>
  <si>
    <t xml:space="preserve">toutinsp@gmail.com                                                                                                                                    </t>
  </si>
  <si>
    <t>Avenida Presidente Ernesto Geisel</t>
  </si>
  <si>
    <t>Jardim Jockey Club</t>
  </si>
  <si>
    <t>MS</t>
  </si>
  <si>
    <t>79080105</t>
  </si>
  <si>
    <t>-20.4824125</t>
  </si>
  <si>
    <t>-54.6284563</t>
  </si>
  <si>
    <t xml:space="preserve">SMART CENTRO SANTA FILOMENA                                 </t>
  </si>
  <si>
    <t xml:space="preserve">R &amp; R. OPTICA LTDA                      </t>
  </si>
  <si>
    <t xml:space="preserve">opticacamilosantafilomena@gmail.com                                                                           </t>
  </si>
  <si>
    <t>Rua Francisco C Carvalho</t>
  </si>
  <si>
    <t>Quiosq Q13</t>
  </si>
  <si>
    <t>Santa Filomena</t>
  </si>
  <si>
    <t>56210000</t>
  </si>
  <si>
    <t xml:space="preserve">SMART POSTO MAIS SAO LUIS PAIZAO                            </t>
  </si>
  <si>
    <t xml:space="preserve">2M COMERCIO E SERVICOS LTDA             </t>
  </si>
  <si>
    <t>Via De Acesso À Emiliano Macieira</t>
  </si>
  <si>
    <t>Vila Maranhão</t>
  </si>
  <si>
    <t>65091320</t>
  </si>
  <si>
    <t xml:space="preserve">SMART ALTO DA ALEGRIA DO PINDARE                            </t>
  </si>
  <si>
    <t xml:space="preserve">J P DE ALENCAR MEDEIROS LTDA            </t>
  </si>
  <si>
    <t xml:space="preserve">joaopaulomedeirosoficial@gmail.com                                                                                                                    </t>
  </si>
  <si>
    <t>Rua Nova</t>
  </si>
  <si>
    <t>Sala 10</t>
  </si>
  <si>
    <t>Alto Alegre Do Pindaré</t>
  </si>
  <si>
    <t>65398000</t>
  </si>
  <si>
    <t>-3.6698186</t>
  </si>
  <si>
    <t>-45.8462153</t>
  </si>
  <si>
    <t xml:space="preserve">SMART AFOGADOS DA INGAZEIRA                                 </t>
  </si>
  <si>
    <t xml:space="preserve">SMART SHOP ITAJAI                                           </t>
  </si>
  <si>
    <t xml:space="preserve">touticontas@gmail.com                                                                                                        </t>
  </si>
  <si>
    <t>Rua Samuel Heusi</t>
  </si>
  <si>
    <t>Quiosq12</t>
  </si>
  <si>
    <t>Itajaí</t>
  </si>
  <si>
    <t>88301320</t>
  </si>
  <si>
    <t>-26.9059398</t>
  </si>
  <si>
    <t>-48.6626196</t>
  </si>
  <si>
    <t xml:space="preserve">SMART ESTACAO GRAJAU                                        </t>
  </si>
  <si>
    <t>PDF COMERCIO DE PERFUMES E COSMETICOS LT</t>
  </si>
  <si>
    <t xml:space="preserve">toutipremium@hotmail.com                                                                                                                              </t>
  </si>
  <si>
    <t>Estrada Da Servidão</t>
  </si>
  <si>
    <t>Quiosq07</t>
  </si>
  <si>
    <t>Vila Do Castelo</t>
  </si>
  <si>
    <t>4438140</t>
  </si>
  <si>
    <t xml:space="preserve">SMART SHOPPING DIFUSORA                                     </t>
  </si>
  <si>
    <t xml:space="preserve">mariabeatrizferreira2001@gmail.com                                                                                                                    </t>
  </si>
  <si>
    <t>Avenida Adjar Da Silva Case</t>
  </si>
  <si>
    <t>Indianopolis</t>
  </si>
  <si>
    <t xml:space="preserve">SHOPPING DIFUSORA STRONG                                    </t>
  </si>
  <si>
    <t xml:space="preserve">SMART SAO BENEDITO                                          </t>
  </si>
  <si>
    <t xml:space="preserve">R SEBASTIAO DE OLIVEIRA                 </t>
  </si>
  <si>
    <t xml:space="preserve">marilenebia2014@gmail.com                                                                                                                             </t>
  </si>
  <si>
    <t>R Deputado Vicente Ribeiro</t>
  </si>
  <si>
    <t>62370000</t>
  </si>
  <si>
    <t>-4.0484353</t>
  </si>
  <si>
    <t>-40.8646009</t>
  </si>
  <si>
    <t xml:space="preserve">SMART LEOPOLDINA                                            </t>
  </si>
  <si>
    <t xml:space="preserve">53.000.282 RHODNEY DOS ANJOS CURCIO     </t>
  </si>
  <si>
    <t xml:space="preserve">paulocesar.agm@hotmail.com                                                                                                                            </t>
  </si>
  <si>
    <t>Rua Barão De Cotegipe</t>
  </si>
  <si>
    <t>Leopoldina</t>
  </si>
  <si>
    <t>36700084</t>
  </si>
  <si>
    <t xml:space="preserve">SMART CENTRO COLATINA                                       </t>
  </si>
  <si>
    <t xml:space="preserve">FLAVIA VERMELHO                         </t>
  </si>
  <si>
    <t xml:space="preserve">toutiitupiranga@gmail.com                                                                                           </t>
  </si>
  <si>
    <t>Rua Antônio Engrácio</t>
  </si>
  <si>
    <t>Colatina</t>
  </si>
  <si>
    <t>29703750</t>
  </si>
  <si>
    <t>-19.5245376</t>
  </si>
  <si>
    <t>-40.6392453</t>
  </si>
  <si>
    <t xml:space="preserve">SMART CENTRO IBIRITE                                        </t>
  </si>
  <si>
    <t xml:space="preserve">D&amp;B PERFUMARIA LTDA                     </t>
  </si>
  <si>
    <t xml:space="preserve">diegofmffmf@gmail.com                                                                                                                                 </t>
  </si>
  <si>
    <t>Rua Toyota</t>
  </si>
  <si>
    <t>Cond Vila Olimpica 1</t>
  </si>
  <si>
    <t>Distrito Industrial Jardim Pie</t>
  </si>
  <si>
    <t>32689354</t>
  </si>
  <si>
    <t>-19.9550902</t>
  </si>
  <si>
    <t>-44.0717476</t>
  </si>
  <si>
    <t xml:space="preserve">SMART MIX MATEUS COQUEIRO                                   </t>
  </si>
  <si>
    <t xml:space="preserve">SMART CALCADAO                                              </t>
  </si>
  <si>
    <t>Avenida Carlos Burlamarqui</t>
  </si>
  <si>
    <t>49010660</t>
  </si>
  <si>
    <t xml:space="preserve">SMART DOM ELISEU                                            </t>
  </si>
  <si>
    <t xml:space="preserve">GEORGE SOUZA SANTOS 02282963237         </t>
  </si>
  <si>
    <t xml:space="preserve">george.engfl@gmail.com                                                                                                                                </t>
  </si>
  <si>
    <t>Rua Duque De Caxias</t>
  </si>
  <si>
    <t>Dom Eliseu</t>
  </si>
  <si>
    <t>68633000</t>
  </si>
  <si>
    <t>-4.2928111</t>
  </si>
  <si>
    <t>-47.5559083</t>
  </si>
  <si>
    <t xml:space="preserve">SMART SHOPPING MEGA POLO MODA                               </t>
  </si>
  <si>
    <t xml:space="preserve">42.347.381 PAULA VANESSA XAVIER         </t>
  </si>
  <si>
    <t xml:space="preserve">xpaulavanessa@gmail.com                                                                                      </t>
  </si>
  <si>
    <t>Avenida Doutor José Maniero</t>
  </si>
  <si>
    <t>Jaraguá</t>
  </si>
  <si>
    <t>2997200</t>
  </si>
  <si>
    <t xml:space="preserve">SMART CENTRO CRATO                                          </t>
  </si>
  <si>
    <t>Bloco 14;Apt 32</t>
  </si>
  <si>
    <t xml:space="preserve">SMART DONA INES                                             </t>
  </si>
  <si>
    <t>53.055.150 LUIZ EDUARDO FREIRE PEREIRA S</t>
  </si>
  <si>
    <t xml:space="preserve">efreire620@gmail.com                                                                                                                                  </t>
  </si>
  <si>
    <t>Avenida Major Augusto Bezerra</t>
  </si>
  <si>
    <t>Dona Inês</t>
  </si>
  <si>
    <t>58228000</t>
  </si>
  <si>
    <t xml:space="preserve">SMART FEIRA DA GIA                                          </t>
  </si>
  <si>
    <t xml:space="preserve">souzamf732@gmail.com                                                                                          </t>
  </si>
  <si>
    <t xml:space="preserve">SMART MATEUS ARACATI                                        </t>
  </si>
  <si>
    <t xml:space="preserve">JOSILEIA S. SANTOS LTDA                 </t>
  </si>
  <si>
    <t>Rua Dragao Do Mar</t>
  </si>
  <si>
    <t>Aracati</t>
  </si>
  <si>
    <t>62800000</t>
  </si>
  <si>
    <t xml:space="preserve">SMART CENTRO JAGUARARI                                      </t>
  </si>
  <si>
    <t xml:space="preserve">28.851.887 JAMERSON GUIMARAES DA SILVA  </t>
  </si>
  <si>
    <t xml:space="preserve">jaminho_92@hotmail.com                                                                                                                                </t>
  </si>
  <si>
    <t>Av Caraiba</t>
  </si>
  <si>
    <t>Box 01</t>
  </si>
  <si>
    <t>Jaguarari</t>
  </si>
  <si>
    <t>48960000</t>
  </si>
  <si>
    <t xml:space="preserve">SMART MATEUS CIDADE OPERARIA                                </t>
  </si>
  <si>
    <t xml:space="preserve">R A L ARRAIS                            </t>
  </si>
  <si>
    <t>rannysonlimaarrais@gmail.com</t>
  </si>
  <si>
    <t>R Miguel Fiquene</t>
  </si>
  <si>
    <t>Terreo</t>
  </si>
  <si>
    <t>Aviação</t>
  </si>
  <si>
    <t xml:space="preserve">SMART FLORICULTURA TAUBATE                                  </t>
  </si>
  <si>
    <t xml:space="preserve">CELINA M P N F LEITE                    </t>
  </si>
  <si>
    <t xml:space="preserve">emailfloriculturadizzy@gmail.com                                                                                         </t>
  </si>
  <si>
    <t>Rua Visconde Do Rio Branco</t>
  </si>
  <si>
    <t>12020040</t>
  </si>
  <si>
    <t>-23.0235589</t>
  </si>
  <si>
    <t>-45.5537553</t>
  </si>
  <si>
    <t xml:space="preserve"> SMART ASSAI JUAZEIRO CE                                    </t>
  </si>
  <si>
    <t xml:space="preserve">53.121.845 VINICIUS CONDE DA SILVA      </t>
  </si>
  <si>
    <t xml:space="preserve">felipecondetouti@gmail.com                                                                                                                            </t>
  </si>
  <si>
    <t>Avenida Padre Cicero</t>
  </si>
  <si>
    <t>Sao Jose</t>
  </si>
  <si>
    <t>63024015</t>
  </si>
  <si>
    <t>-7.2274247</t>
  </si>
  <si>
    <t>-39.3476585</t>
  </si>
  <si>
    <t xml:space="preserve">SMART OTICA ALTERNATIVA                                     </t>
  </si>
  <si>
    <t xml:space="preserve">ERASMO MARQUES BRANDAO OPTICA           </t>
  </si>
  <si>
    <t xml:space="preserve">toutipalmeira.centro@gmail.com                                                                                                                        </t>
  </si>
  <si>
    <t>R. Duque de Caxias</t>
  </si>
  <si>
    <t>120B</t>
  </si>
  <si>
    <t>57600-040</t>
  </si>
  <si>
    <t>Palmeira Dos Índios</t>
  </si>
  <si>
    <t>-9.40790629066933</t>
  </si>
  <si>
    <t xml:space="preserve">MINI FULL SHOP PRAIA DA COSTA                               </t>
  </si>
  <si>
    <t xml:space="preserve">TOUTI PRAIA DA COSTA LTDA               </t>
  </si>
  <si>
    <t xml:space="preserve">touti01praiadacosta@gmail.com                                                                                          </t>
  </si>
  <si>
    <t>Avenida Doutor Olívio Lira</t>
  </si>
  <si>
    <t>Letra A</t>
  </si>
  <si>
    <t>Praia Da Costa</t>
  </si>
  <si>
    <t>Vila Velha</t>
  </si>
  <si>
    <t>29101260</t>
  </si>
  <si>
    <t>-20.3392680</t>
  </si>
  <si>
    <t>-40.2865133</t>
  </si>
  <si>
    <t xml:space="preserve">GALERIA COMAGRI RIBEIRÃO                                    </t>
  </si>
  <si>
    <t>PADILHA PERFUMARIA E ACESSORIOS COMERCIO</t>
  </si>
  <si>
    <t xml:space="preserve">emanuelfranca845@gmail.com                                                                                                                            </t>
  </si>
  <si>
    <t>R Joao Manoel Pontual</t>
  </si>
  <si>
    <t>Pavmtol1 Quiosqq109</t>
  </si>
  <si>
    <t>Escada</t>
  </si>
  <si>
    <t>55500000</t>
  </si>
  <si>
    <t xml:space="preserve">SMART CANAA CENTER                                          </t>
  </si>
  <si>
    <t>JAQUELINE DOS SANTOS FAUSTINO BORGES 041</t>
  </si>
  <si>
    <t xml:space="preserve">jaquelinefaustino2009@hotmail.com                                                                                                                     </t>
  </si>
  <si>
    <t>Simões Filho</t>
  </si>
  <si>
    <t>43700000</t>
  </si>
  <si>
    <t>-12.7867839</t>
  </si>
  <si>
    <t>-38.4030365</t>
  </si>
  <si>
    <t xml:space="preserve">SMART SHOPPING NORTE JANGA                                  </t>
  </si>
  <si>
    <t xml:space="preserve">FARMACIA DO SERVIDOR PERNAMBUCANO LTDA  </t>
  </si>
  <si>
    <t xml:space="preserve">wellington@cwconsultores.com.br                                                                                                                       </t>
  </si>
  <si>
    <t>Rua São Francisco De Paula</t>
  </si>
  <si>
    <t>Quiosq403 Pavmto L4</t>
  </si>
  <si>
    <t>Caxangá</t>
  </si>
  <si>
    <t>50800270</t>
  </si>
  <si>
    <t>-8.0296220</t>
  </si>
  <si>
    <t>-34.9544275</t>
  </si>
  <si>
    <t xml:space="preserve">SMART ASSAI PIRAPORINHA                                     </t>
  </si>
  <si>
    <t>ALAN VITORIANO LINS PERFUMES E COSMETICO</t>
  </si>
  <si>
    <t xml:space="preserve">alan.30.lins@gmail.com                                                                                                       </t>
  </si>
  <si>
    <t>Av Interlagos</t>
  </si>
  <si>
    <t>Jardim Umuarama</t>
  </si>
  <si>
    <t>4661903</t>
  </si>
  <si>
    <t xml:space="preserve">SMART ASSAI SERRA TALHADA                                   </t>
  </si>
  <si>
    <t xml:space="preserve">53.447.893 LARISSA DA COSTA FERREIRA    </t>
  </si>
  <si>
    <t>Av Waldemar Inacio De Oliveira</t>
  </si>
  <si>
    <t>Quadra 26 Lote 03</t>
  </si>
  <si>
    <t>Bom Jesus</t>
  </si>
  <si>
    <t>56906010</t>
  </si>
  <si>
    <t xml:space="preserve">SMART SUPERMERCADO SUPRAVE                                  </t>
  </si>
  <si>
    <t xml:space="preserve">SMART SHOPPING JUREMA                                       </t>
  </si>
  <si>
    <t xml:space="preserve">53.517.069 SORAYA SOUSA DIOGO LINHARES  </t>
  </si>
  <si>
    <t xml:space="preserve">sorayasousa3005@gmail.com                                                                                                                             </t>
  </si>
  <si>
    <t>Avenida São Vicente De Paula</t>
  </si>
  <si>
    <t>Sala 7</t>
  </si>
  <si>
    <t>Marechal Rondon</t>
  </si>
  <si>
    <t>61652140</t>
  </si>
  <si>
    <t>-3.7736314</t>
  </si>
  <si>
    <t>-38.6277822</t>
  </si>
  <si>
    <t xml:space="preserve">SMART MIX GLAMOUR SIMÃO DIAS                                </t>
  </si>
  <si>
    <t xml:space="preserve">ROGERIA DOS SANTOS 00321085590          </t>
  </si>
  <si>
    <t xml:space="preserve">anatriz.msn@gmail.com                                                                                                                                 </t>
  </si>
  <si>
    <t>Rua Terencio Carvalho</t>
  </si>
  <si>
    <t>Boquim</t>
  </si>
  <si>
    <t>49360000</t>
  </si>
  <si>
    <t xml:space="preserve">FULL MONTES CLAROS SHOPPING                                 </t>
  </si>
  <si>
    <t xml:space="preserve">PAIXAO E SPYER COSMETICOS LTDA          </t>
  </si>
  <si>
    <t xml:space="preserve">comuny.financeiro@gmail.com                                                                                                                           </t>
  </si>
  <si>
    <t>Rua Beata Irmã</t>
  </si>
  <si>
    <t>Montes Claros</t>
  </si>
  <si>
    <t>39400110</t>
  </si>
  <si>
    <t>-16.7235979</t>
  </si>
  <si>
    <t>-43.8700933</t>
  </si>
  <si>
    <t xml:space="preserve">SMART TERMINAL INTEGRADO PELOPIDAS SILVEIRA                 </t>
  </si>
  <si>
    <t xml:space="preserve">SMART SHOPPING BAY MARKET                                   </t>
  </si>
  <si>
    <t xml:space="preserve">BAMBINO PERFUMARIA LTDA                 </t>
  </si>
  <si>
    <t xml:space="preserve">diegoalves-lima2013@hotmail.com                                                                                                                       </t>
  </si>
  <si>
    <t>Av Visconde Do Rio Branco</t>
  </si>
  <si>
    <t>24020007</t>
  </si>
  <si>
    <t>-22.8967442</t>
  </si>
  <si>
    <t>-43.1289735</t>
  </si>
  <si>
    <t xml:space="preserve">SMART MIX MATEUS ITABUNA                                    </t>
  </si>
  <si>
    <t xml:space="preserve">W. TEIXEIRA DA CONCEICAO                </t>
  </si>
  <si>
    <t xml:space="preserve">txrepresentacao@hotmail.com                                                                                                                           </t>
  </si>
  <si>
    <t>R Lucaia</t>
  </si>
  <si>
    <t>Quiosqst013</t>
  </si>
  <si>
    <t>Tanhaçu</t>
  </si>
  <si>
    <t>46600000</t>
  </si>
  <si>
    <t>-14.0196620</t>
  </si>
  <si>
    <t>-41.2472710</t>
  </si>
  <si>
    <t xml:space="preserve">SMART SHOPING CENTRAL                                       </t>
  </si>
  <si>
    <t>48.927.077 FRANCISCO JOSE DE LIMA JUNIOR</t>
  </si>
  <si>
    <t xml:space="preserve">juniior.lima@hotmail.com                                                                                                                              </t>
  </si>
  <si>
    <t>Rua General Sampaio, Até 1788/1789</t>
  </si>
  <si>
    <t>60020030</t>
  </si>
  <si>
    <t>-3.7320876</t>
  </si>
  <si>
    <t>-38.5323206</t>
  </si>
  <si>
    <t xml:space="preserve">SMART CANINDE DE SÃO FRANCISCO                              </t>
  </si>
  <si>
    <t xml:space="preserve">53.792.770 RANGELY MENEZES ALVES        </t>
  </si>
  <si>
    <t xml:space="preserve">canindetouti@gmail.com                                                                                                                                </t>
  </si>
  <si>
    <t>10Av Joao Alves Filho</t>
  </si>
  <si>
    <t>Loja Quioq-V</t>
  </si>
  <si>
    <t>Canindé De São Francisco</t>
  </si>
  <si>
    <t>49820000</t>
  </si>
  <si>
    <t>-9.6604477</t>
  </si>
  <si>
    <t>-37.7895637</t>
  </si>
  <si>
    <t xml:space="preserve">SMART ESTAÇÃO CAMPO LIMPO                                   </t>
  </si>
  <si>
    <t>DF COMERCIO DE PERFUMES E COSMETICOS LTD</t>
  </si>
  <si>
    <t xml:space="preserve">toutipremium@hotmail.com                                                                                           </t>
  </si>
  <si>
    <t>Rua Miguel Maurício Ramalho</t>
  </si>
  <si>
    <t>Box 02</t>
  </si>
  <si>
    <t>Jardim Da Pedreira</t>
  </si>
  <si>
    <t>04462040</t>
  </si>
  <si>
    <t xml:space="preserve">ESTACAO DA LUZ                                              </t>
  </si>
  <si>
    <t>Rua João Ferreira De Abreu</t>
  </si>
  <si>
    <t>Vila Arriete</t>
  </si>
  <si>
    <t>04446-160</t>
  </si>
  <si>
    <t xml:space="preserve">SMART ESTACAO SANTO AMARO                                   </t>
  </si>
  <si>
    <t>Apt 12</t>
  </si>
  <si>
    <t xml:space="preserve">MINI FULL SHOPPING CONTAGEM                                 </t>
  </si>
  <si>
    <t xml:space="preserve">SC PERFUMES E COSMETICOS LTDA           </t>
  </si>
  <si>
    <t xml:space="preserve">shirlei.carla10@gmail.com                                                                                                                             </t>
  </si>
  <si>
    <t>Avenida Severino Ballesteros Rodrigues</t>
  </si>
  <si>
    <t>Ressaca</t>
  </si>
  <si>
    <t>Contagem</t>
  </si>
  <si>
    <t>32145-520</t>
  </si>
  <si>
    <t xml:space="preserve">FULL SHOPPING MOXUARA                                       </t>
  </si>
  <si>
    <t xml:space="preserve">B M C COMERCIO DE COSMETICOS LTDA       </t>
  </si>
  <si>
    <t>Avenida Mário Gurgel 5353</t>
  </si>
  <si>
    <t>Piso L2 Scoq205</t>
  </si>
  <si>
    <t>São Francisco</t>
  </si>
  <si>
    <t>29145910</t>
  </si>
  <si>
    <t>-20.3438378</t>
  </si>
  <si>
    <t>-40.4002431</t>
  </si>
  <si>
    <t xml:space="preserve">SMART CENTRO COLONIA LEOPOLDINA                             </t>
  </si>
  <si>
    <t xml:space="preserve">O B DE BARROS MOVEIS                    </t>
  </si>
  <si>
    <t xml:space="preserve">lairmoveis@bol.com.br                                                                                                                                 </t>
  </si>
  <si>
    <t>Lrg Padre Francisco</t>
  </si>
  <si>
    <t>Colônia Leopoldina</t>
  </si>
  <si>
    <t>57975000</t>
  </si>
  <si>
    <t>-8.9144649</t>
  </si>
  <si>
    <t>-35.7220255</t>
  </si>
  <si>
    <t xml:space="preserve">SMART SHOP POPULAR                                          </t>
  </si>
  <si>
    <t xml:space="preserve">28.380.121 JULIO CESAR DE PAIVA PINTO   </t>
  </si>
  <si>
    <t xml:space="preserve">touticrateus2@gmail.com                                                                                                       </t>
  </si>
  <si>
    <t>Rua José Benony Mourão</t>
  </si>
  <si>
    <t>Altamira</t>
  </si>
  <si>
    <t>Crateús</t>
  </si>
  <si>
    <t>63704185</t>
  </si>
  <si>
    <t xml:space="preserve">SMART BUIQUE                                                </t>
  </si>
  <si>
    <t>51.770.985 JULIANA EMANNUELLE DE ANDRADE</t>
  </si>
  <si>
    <t xml:space="preserve">emannuelleee21@gmail.com                                                                                                                              </t>
  </si>
  <si>
    <t>11 R Rua Luiz Bezerra De Andrade</t>
  </si>
  <si>
    <t>Buíque</t>
  </si>
  <si>
    <t>56520000</t>
  </si>
  <si>
    <t>-8.6239732</t>
  </si>
  <si>
    <t>-37.1572960</t>
  </si>
  <si>
    <t xml:space="preserve">SMART CENTRO BODOCO                                         </t>
  </si>
  <si>
    <t>53.911.452 FRANCISCO JOSE CAVALCANTE JUN</t>
  </si>
  <si>
    <t xml:space="preserve">juninhobodox@gmail.com                                                                                                                                </t>
  </si>
  <si>
    <t>10 R Maestro Carlos Gomes</t>
  </si>
  <si>
    <t>Bodocó</t>
  </si>
  <si>
    <t>56220000</t>
  </si>
  <si>
    <t>-7.7775920</t>
  </si>
  <si>
    <t>-39.9337970</t>
  </si>
  <si>
    <t xml:space="preserve">SMART SHOPPING ITAGUACU                                     </t>
  </si>
  <si>
    <t xml:space="preserve">TOUTI SANTA CATARINA LTDA               </t>
  </si>
  <si>
    <t xml:space="preserve">toutiltda@gmail.com                                                                                                            </t>
  </si>
  <si>
    <t>Jaraguá Do Sul</t>
  </si>
  <si>
    <t>89251000</t>
  </si>
  <si>
    <t>-26.4787983</t>
  </si>
  <si>
    <t>-49.0878233</t>
  </si>
  <si>
    <t xml:space="preserve">SMART SHOPPING SIRINHAEM                                    </t>
  </si>
  <si>
    <t>Quadra07 Pavmtol1</t>
  </si>
  <si>
    <t xml:space="preserve">SMART SUPERMERCADO AVIZA                                    </t>
  </si>
  <si>
    <t xml:space="preserve">33.740.525 ANA BENEDITA COSTA           </t>
  </si>
  <si>
    <t xml:space="preserve">elencarlapaixao123@gmail.com                                                                                                                          </t>
  </si>
  <si>
    <t>R Santo Antonio</t>
  </si>
  <si>
    <t>Campina</t>
  </si>
  <si>
    <t>Belém</t>
  </si>
  <si>
    <t>66010105</t>
  </si>
  <si>
    <t>-1.4488373</t>
  </si>
  <si>
    <t>-48.4975525</t>
  </si>
  <si>
    <t xml:space="preserve">SMART CENTRO ITAJUBA                                        </t>
  </si>
  <si>
    <t>LA VIE STORE PERFUMARIA E MAQUIAGEM LTDA</t>
  </si>
  <si>
    <t xml:space="preserve">touti.original@hotmail.com                                                                                                                            </t>
  </si>
  <si>
    <t>Avenida Coronel Carneiro Júnior</t>
  </si>
  <si>
    <t>Itajubá</t>
  </si>
  <si>
    <t>37500018</t>
  </si>
  <si>
    <t>-22.4247153</t>
  </si>
  <si>
    <t>-45.4562521</t>
  </si>
  <si>
    <t xml:space="preserve">SMART CENTRAL PARK PLAZA SHOPPING                           </t>
  </si>
  <si>
    <t xml:space="preserve">MICHEL REINO DE SANTIS                  </t>
  </si>
  <si>
    <t xml:space="preserve">LOJA  CENTRO ESPERANTINA                                    </t>
  </si>
  <si>
    <t xml:space="preserve">MARINHO VENDA DE COSMETICOS LTDA        </t>
  </si>
  <si>
    <t xml:space="preserve">jamillemarinho.jm@gmail.com                                                                                                                           </t>
  </si>
  <si>
    <t>Rua Herminio Castela Branco</t>
  </si>
  <si>
    <t>Esperantina</t>
  </si>
  <si>
    <t>64180000</t>
  </si>
  <si>
    <t>-3.8950963</t>
  </si>
  <si>
    <t>-42.2370595</t>
  </si>
  <si>
    <t xml:space="preserve">SMART FARMA DO POVO IPU                                     </t>
  </si>
  <si>
    <t>42.525.917 ANTONIO WESLEY SILVA DO NASCI</t>
  </si>
  <si>
    <t xml:space="preserve">SMART MERCADO EXTRA RICARDO JAFET                           </t>
  </si>
  <si>
    <t xml:space="preserve">SBC PERFUMES LTDA                       </t>
  </si>
  <si>
    <t xml:space="preserve">simoneccerqueira09@gmail.com                                                                                                                          </t>
  </si>
  <si>
    <t>Avenida Doutor Ricardo Jafet</t>
  </si>
  <si>
    <t>Apt</t>
  </si>
  <si>
    <t>Vila Santa Eulalia</t>
  </si>
  <si>
    <t>4260020</t>
  </si>
  <si>
    <t xml:space="preserve">FULL SHOPPING UBERABA                                       </t>
  </si>
  <si>
    <t xml:space="preserve">FERNANDES MACHADO COSMETICOS E PRODUTOS </t>
  </si>
  <si>
    <t>Avenida Santa Beatriz Da Silva, De 1127 Ao Fim - Lado Ímpar</t>
  </si>
  <si>
    <t>Uberaba</t>
  </si>
  <si>
    <t>38020433</t>
  </si>
  <si>
    <t>-19.7686521</t>
  </si>
  <si>
    <t>-47.9552593</t>
  </si>
  <si>
    <t xml:space="preserve">SMART APARECIDA SHOPPING                                    </t>
  </si>
  <si>
    <t xml:space="preserve">OPEN FRANQUIAS LTDA                     </t>
  </si>
  <si>
    <t xml:space="preserve">toutiaparecida@gmail.com                                                                                                                              </t>
  </si>
  <si>
    <t>Avenida Independência</t>
  </si>
  <si>
    <t>S/Nº</t>
  </si>
  <si>
    <t>Setor Serra Dourada - 4ª Etapa</t>
  </si>
  <si>
    <t>Aparecida De Goiânia</t>
  </si>
  <si>
    <t>74973753</t>
  </si>
  <si>
    <t>-16.8227711</t>
  </si>
  <si>
    <t>-49.2542071</t>
  </si>
  <si>
    <t xml:space="preserve">FULL UBERLANDIA SHOPPING                                    </t>
  </si>
  <si>
    <t xml:space="preserve">FERNANDES MACHADO PRODUTOS E COSMETICOS </t>
  </si>
  <si>
    <t>Av Paulo Gracindo</t>
  </si>
  <si>
    <t>Quadraarea Lote 01 Quiosq120 Piso 01</t>
  </si>
  <si>
    <t>Gavea</t>
  </si>
  <si>
    <t>38411145</t>
  </si>
  <si>
    <t>-18.9556599</t>
  </si>
  <si>
    <t>-48.2776805</t>
  </si>
  <si>
    <t xml:space="preserve">SMART X ONE ACADEMIA                                        </t>
  </si>
  <si>
    <t xml:space="preserve">51.691.881 PATRICIA CAYRES GUTTIEREZ    </t>
  </si>
  <si>
    <t xml:space="preserve">pattycayres@hotmail.com                                                                                                                               </t>
  </si>
  <si>
    <t>Rua Natal</t>
  </si>
  <si>
    <t>Quiosqmik 709</t>
  </si>
  <si>
    <t>Setor 03</t>
  </si>
  <si>
    <t>Ariquemes</t>
  </si>
  <si>
    <t>RO</t>
  </si>
  <si>
    <t>76870520</t>
  </si>
  <si>
    <t xml:space="preserve">SMART V3 SHOPPING PELOTAS                                   </t>
  </si>
  <si>
    <t>Avenida Ferreira Viana</t>
  </si>
  <si>
    <t>Areal</t>
  </si>
  <si>
    <t>96085000</t>
  </si>
  <si>
    <t>-31.7521713</t>
  </si>
  <si>
    <t>-52.2960308</t>
  </si>
  <si>
    <t xml:space="preserve">SMART FEIRA DO TURISTA DE ARACAJU                           </t>
  </si>
  <si>
    <t>MELCA LUIZA NASCIMENTO SANTOS SOUZA 0587</t>
  </si>
  <si>
    <t xml:space="preserve">caiotoutiaju@gmail.com                                                                                                                                </t>
  </si>
  <si>
    <t>Rua Praia De Atalaia Nova</t>
  </si>
  <si>
    <t>Aruana</t>
  </si>
  <si>
    <t>49000620</t>
  </si>
  <si>
    <t>-11.0075079</t>
  </si>
  <si>
    <t>-37.0880695</t>
  </si>
  <si>
    <t xml:space="preserve">SMART SUPER PRADO VASCONCELOS BOQUIM                        </t>
  </si>
  <si>
    <t xml:space="preserve">54.133.931 THIAGO ELIAS ARNAUD SILVA    </t>
  </si>
  <si>
    <t xml:space="preserve">thiagojw@gmail.com                                                                                                                                    </t>
  </si>
  <si>
    <t>10 R Terencio De Carvalho</t>
  </si>
  <si>
    <t>107 B</t>
  </si>
  <si>
    <t>Loja 3</t>
  </si>
  <si>
    <t xml:space="preserve">SMART ASSAI CG                                              </t>
  </si>
  <si>
    <t>Av Otacilio Lira Cabral</t>
  </si>
  <si>
    <t>-35.4915582</t>
  </si>
  <si>
    <t xml:space="preserve">SMART MAXXI ATACADO CG                                      </t>
  </si>
  <si>
    <t>Dinamérica</t>
  </si>
  <si>
    <t>58416-440</t>
  </si>
  <si>
    <t xml:space="preserve">SMART CARREFOUR PIRACICABA                                  </t>
  </si>
  <si>
    <t xml:space="preserve">53.067.248 NATALIA NERY BELIZARIO       </t>
  </si>
  <si>
    <t xml:space="preserve">lrb.assessoriaegestao@gmail.com                                                                                                                       </t>
  </si>
  <si>
    <t>Rua Hortolândia</t>
  </si>
  <si>
    <t>Parque Universitário</t>
  </si>
  <si>
    <t>Americana</t>
  </si>
  <si>
    <t>13467690</t>
  </si>
  <si>
    <t>-22.7801976</t>
  </si>
  <si>
    <t>-47.3514366</t>
  </si>
  <si>
    <t xml:space="preserve">MINI FULL SHOPPING GIGA MALL                                </t>
  </si>
  <si>
    <t xml:space="preserve">ALISSON GONDIM FERREIRA                 </t>
  </si>
  <si>
    <t>Rua José Hipólito</t>
  </si>
  <si>
    <t>60871170</t>
  </si>
  <si>
    <t>-3.8331146</t>
  </si>
  <si>
    <t>-38.4914614</t>
  </si>
  <si>
    <t xml:space="preserve">SMART SHOPPING CASCAVEL                                     </t>
  </si>
  <si>
    <t>Loja 149 Shopping Plaza</t>
  </si>
  <si>
    <t xml:space="preserve">SMART EL CAMIÑO SUPER                                       </t>
  </si>
  <si>
    <t>J S ALVES COMERCIO DE PRODUTOS ALIMENTIC</t>
  </si>
  <si>
    <t xml:space="preserve">valberoliveira0029@gmail.com                                                                                                                          </t>
  </si>
  <si>
    <t>Vila Castelo Branco</t>
  </si>
  <si>
    <t>Castelo Branco</t>
  </si>
  <si>
    <t>Itupiranga</t>
  </si>
  <si>
    <t>68580000</t>
  </si>
  <si>
    <t>-5.1337224</t>
  </si>
  <si>
    <t>-49.3321988</t>
  </si>
  <si>
    <t xml:space="preserve">SMART V3 OURINHOS PLAZA SHOP                                </t>
  </si>
  <si>
    <t>39.701.716 HELEN JAQUELINE LAUREANO ALVE</t>
  </si>
  <si>
    <t xml:space="preserve">toutiourinhos@gmail.com                                                                                                                               </t>
  </si>
  <si>
    <t>Rua Cardoso Ribeiro</t>
  </si>
  <si>
    <t>Vila Boa Esperança</t>
  </si>
  <si>
    <t>Ourinhos</t>
  </si>
  <si>
    <t>19912120</t>
  </si>
  <si>
    <t>-22.9792749</t>
  </si>
  <si>
    <t>-49.8615813</t>
  </si>
  <si>
    <t xml:space="preserve">MINIFULL SHOPPING ESTACAO                                   </t>
  </si>
  <si>
    <t xml:space="preserve">LOTUS PERFUMES LTDA                     </t>
  </si>
  <si>
    <t xml:space="preserve">toutifragrancias@gmail.com                                                                                                                            </t>
  </si>
  <si>
    <t>Avenida Sete De Setembro, De 2411 A 3909 - Lado Ímpar</t>
  </si>
  <si>
    <t>Quiosqtouti Perfumes</t>
  </si>
  <si>
    <t>Rebouças</t>
  </si>
  <si>
    <t>80230010</t>
  </si>
  <si>
    <t>-25.4393671</t>
  </si>
  <si>
    <t>-49.2709690</t>
  </si>
  <si>
    <t xml:space="preserve">SMART CARREFOUR JP BANCARIOS                                </t>
  </si>
  <si>
    <t xml:space="preserve">SMART ASSAI ATACADISTA ANA COSTA                            </t>
  </si>
  <si>
    <t xml:space="preserve">SMART ASSAI JP                                              </t>
  </si>
  <si>
    <t xml:space="preserve">SMART V2 SUPER QUARTETTO TAQUARALTO                         </t>
  </si>
  <si>
    <t xml:space="preserve">GICELIA ARAUJO GOMES LEITE              </t>
  </si>
  <si>
    <t xml:space="preserve">giceliaaraujo77@gmail.com                                                                                                                             </t>
  </si>
  <si>
    <t>Avenida I</t>
  </si>
  <si>
    <t>Jardim Aureny Iii</t>
  </si>
  <si>
    <t>77062020</t>
  </si>
  <si>
    <t>-10.3154547</t>
  </si>
  <si>
    <t>-48.3102189</t>
  </si>
  <si>
    <t xml:space="preserve">LOJA PATOS DE MINAS                                         </t>
  </si>
  <si>
    <t xml:space="preserve">G&amp;D COSMETICOS LTDA                     </t>
  </si>
  <si>
    <t xml:space="preserve">deboraf_silva@hotmail.com                                                                                                                             </t>
  </si>
  <si>
    <t>R Major Gote</t>
  </si>
  <si>
    <t>Patos De Minas</t>
  </si>
  <si>
    <t>38700001</t>
  </si>
  <si>
    <t>-18.5994558</t>
  </si>
  <si>
    <t>-46.5150298</t>
  </si>
  <si>
    <t xml:space="preserve">SHOPPING ANDORINHA                                          </t>
  </si>
  <si>
    <t xml:space="preserve">milena@toutisp.com.bradministrativo@toutisp.com.br                                                             </t>
  </si>
  <si>
    <t>Rua Cons Moreira De Barros</t>
  </si>
  <si>
    <t>Frente</t>
  </si>
  <si>
    <t>Lauzane Paulista</t>
  </si>
  <si>
    <t>02430-001</t>
  </si>
  <si>
    <t xml:space="preserve">SMART CENTRO FLORESTA                                       </t>
  </si>
  <si>
    <t>54.201.984 LUIZ ANTONIO RODRIGUES DE SOU</t>
  </si>
  <si>
    <t xml:space="preserve">l3negociosecomercio@gmail.com                                                                                                                         </t>
  </si>
  <si>
    <t>Av Paulo Pessoa Guerra</t>
  </si>
  <si>
    <t>Floresta</t>
  </si>
  <si>
    <t>56400000</t>
  </si>
  <si>
    <t>-8.5969798</t>
  </si>
  <si>
    <t>-38.5742878</t>
  </si>
  <si>
    <t xml:space="preserve">FULL MARILIA SHOPPING                                       </t>
  </si>
  <si>
    <t xml:space="preserve">54.365.784 PAULO EDUARDO MARTINS MIGUEL </t>
  </si>
  <si>
    <t xml:space="preserve">toutimarilia@gmail.com                                                                                                                                </t>
  </si>
  <si>
    <t>Rua Tomaz Mascaro</t>
  </si>
  <si>
    <t>Quiosqtouti Andar Terreo</t>
  </si>
  <si>
    <t>Marília</t>
  </si>
  <si>
    <t>17501490</t>
  </si>
  <si>
    <t>-22.2262367</t>
  </si>
  <si>
    <t>-49.9511404</t>
  </si>
  <si>
    <t xml:space="preserve">SMART V3 SHOPPING CAJAZEIRAS                                </t>
  </si>
  <si>
    <t xml:space="preserve">G F FERREIRA                            </t>
  </si>
  <si>
    <t xml:space="preserve">gilsivania.1012@gmail.com                                                                                                                             </t>
  </si>
  <si>
    <t>Rua Isaura Juvino Da Silva</t>
  </si>
  <si>
    <t>Pombal</t>
  </si>
  <si>
    <t>58840000</t>
  </si>
  <si>
    <t>-6.7711315</t>
  </si>
  <si>
    <t>-37.7988646</t>
  </si>
  <si>
    <t xml:space="preserve">STRONG ESTACAO REPUBLICA                                    </t>
  </si>
  <si>
    <t xml:space="preserve">toutipremium@hotmail.com                                                                                     </t>
  </si>
  <si>
    <t>Avenida Paulista</t>
  </si>
  <si>
    <t>13145-034</t>
  </si>
  <si>
    <t xml:space="preserve">SMART ASSAÍ ATACADISTA AEROPORTO CONGONHAS                  </t>
  </si>
  <si>
    <t xml:space="preserve">SCALON COSMETICOS LTDA                  </t>
  </si>
  <si>
    <t xml:space="preserve">alan.30.lins@gmail.com                                                                                                                                </t>
  </si>
  <si>
    <t>Av Washington Luis</t>
  </si>
  <si>
    <t>Conj 511 Sala 02</t>
  </si>
  <si>
    <t>04626-000</t>
  </si>
  <si>
    <t xml:space="preserve">SMART TERMINAL RODOVIÁRIO DE CAMPINAS                       </t>
  </si>
  <si>
    <t xml:space="preserve">LC VAN HAM COSMETICOS LTDA              </t>
  </si>
  <si>
    <t xml:space="preserve">leovanham@hotmail.com                                                                                                                                 </t>
  </si>
  <si>
    <t>Rua Doutor Pereira Lima</t>
  </si>
  <si>
    <t>Vila Industrial</t>
  </si>
  <si>
    <t>Campinas</t>
  </si>
  <si>
    <t>13035505</t>
  </si>
  <si>
    <t>-22.9080502</t>
  </si>
  <si>
    <t>-47.0756814</t>
  </si>
  <si>
    <t xml:space="preserve">SMART SUPER FORTALEZA SANTANA                               </t>
  </si>
  <si>
    <t>Box Rodoviaria Area Q 18</t>
  </si>
  <si>
    <t xml:space="preserve">SMART V3 RODOVIARIA BARREIRAS                               </t>
  </si>
  <si>
    <t xml:space="preserve">54.683.267 NEILDES DE SOUZA SANTOS      </t>
  </si>
  <si>
    <t xml:space="preserve">anderson_phablo@hotmail.com                                                                                    </t>
  </si>
  <si>
    <t>Rua José Amorim Brandão</t>
  </si>
  <si>
    <t>Box 202</t>
  </si>
  <si>
    <t>Serra Do Mimo</t>
  </si>
  <si>
    <t>Barreiras</t>
  </si>
  <si>
    <t>47802512</t>
  </si>
  <si>
    <t>-12.1448733</t>
  </si>
  <si>
    <t>-44.9712375</t>
  </si>
  <si>
    <t xml:space="preserve">SMART V2 ESTACAO PITUACU                                    </t>
  </si>
  <si>
    <t xml:space="preserve">54.504.240 WANESSA SILVA COSTA LIMA     </t>
  </si>
  <si>
    <t xml:space="preserve">vanessascl38@gmail.com                                                                                                                                </t>
  </si>
  <si>
    <t>Avenida Luís Viana</t>
  </si>
  <si>
    <t>Centro Administrativo Da Bahia</t>
  </si>
  <si>
    <t>41745010</t>
  </si>
  <si>
    <t>-12.9455376</t>
  </si>
  <si>
    <t>-38.4210589</t>
  </si>
  <si>
    <t xml:space="preserve">SHOPPING NOVA AMERICA II                                    </t>
  </si>
  <si>
    <t>ATEX COMERCIO DE PERFUMES E COSMETICOS L</t>
  </si>
  <si>
    <t xml:space="preserve">hiago.freitas@touticosmetics.com.br                                                                                                                   </t>
  </si>
  <si>
    <t>Avenida Pastor Martin Luther King Jr</t>
  </si>
  <si>
    <t>Del Castilho</t>
  </si>
  <si>
    <t>20765959</t>
  </si>
  <si>
    <t xml:space="preserve">SMART CENTRO PAUDALHO                                       </t>
  </si>
  <si>
    <t>STRONG VAREJO E DISTRIBUICAO DE COSMETIC</t>
  </si>
  <si>
    <t xml:space="preserve">varejostrong@gmail.com                                                                                                                                </t>
  </si>
  <si>
    <t>R Da Aurora</t>
  </si>
  <si>
    <t>50050000</t>
  </si>
  <si>
    <t>-8.0601398</t>
  </si>
  <si>
    <t>-34.8804122</t>
  </si>
  <si>
    <t xml:space="preserve">MINI FULL WEST SHOPPING                                     </t>
  </si>
  <si>
    <t xml:space="preserve">M. WEST PERFUMARIA LTDA                 </t>
  </si>
  <si>
    <t>Estrada Do Mendanha</t>
  </si>
  <si>
    <t>Quiosqq 103 L1</t>
  </si>
  <si>
    <t>23087-230</t>
  </si>
  <si>
    <t xml:space="preserve">FULL SHOPPING PLAZA MACAE                                   </t>
  </si>
  <si>
    <t>E. O. HENRIQUE COMERCIO DE COSMETICOS LT</t>
  </si>
  <si>
    <t xml:space="preserve">macae.touti@gmail.com                                                                                                </t>
  </si>
  <si>
    <t>Rua Bento Pessanha</t>
  </si>
  <si>
    <t>Quiosque Q15A</t>
  </si>
  <si>
    <t>Glória</t>
  </si>
  <si>
    <t>Macaé</t>
  </si>
  <si>
    <t>27937004</t>
  </si>
  <si>
    <t xml:space="preserve">SMART MATEUS CANAA DOS CARAJAS                              </t>
  </si>
  <si>
    <t xml:space="preserve">SMART V3 SUPERMERCADO BH SARZEDO                            </t>
  </si>
  <si>
    <t xml:space="preserve">LOPES TOUSSAINT EMPREENDIMENTOS LTDA    </t>
  </si>
  <si>
    <t xml:space="preserve">toutisarzedo@gmail.com                                                                                                                                </t>
  </si>
  <si>
    <t>Av Nova Jerusalem</t>
  </si>
  <si>
    <t>Fazenda Das Perobas 1</t>
  </si>
  <si>
    <t>Sarzedo</t>
  </si>
  <si>
    <t>32450000</t>
  </si>
  <si>
    <t>-20.0353000</t>
  </si>
  <si>
    <t>-44.1453000</t>
  </si>
  <si>
    <t xml:space="preserve">SMART CARREFOUR ANCHIETA                                    </t>
  </si>
  <si>
    <t xml:space="preserve">DI MATTEO COMERCIO DE PERFUMES LTDA     </t>
  </si>
  <si>
    <t xml:space="preserve">tatianafkb@gmail.com                                                                                                                                  </t>
  </si>
  <si>
    <t>Rua Frederico Bressan</t>
  </si>
  <si>
    <t>Quiosqpetit A Petit</t>
  </si>
  <si>
    <t>Vila Cleonice</t>
  </si>
  <si>
    <t>3286120</t>
  </si>
  <si>
    <t xml:space="preserve">SMART V3 CENTRO MONTE ALEGRE                                </t>
  </si>
  <si>
    <t>NATALIA SOYANE NUNES MESQUITA 0306720728</t>
  </si>
  <si>
    <t xml:space="preserve">jairanunes91@gmail.com                                                                                                                                </t>
  </si>
  <si>
    <t>Travessa Luís Barbosa</t>
  </si>
  <si>
    <t>Fátima</t>
  </si>
  <si>
    <t>68040420</t>
  </si>
  <si>
    <t>-2.4258814</t>
  </si>
  <si>
    <t>-54.7326475</t>
  </si>
  <si>
    <t xml:space="preserve">SMART MIX MATEUS PARNAIBA                                   </t>
  </si>
  <si>
    <t xml:space="preserve">TOUTI PARNAIBA LTDA                     </t>
  </si>
  <si>
    <t>Av Sao Sebastiao</t>
  </si>
  <si>
    <t>Reis Veloso</t>
  </si>
  <si>
    <t>Parnaíba</t>
  </si>
  <si>
    <t>64207-010</t>
  </si>
  <si>
    <t xml:space="preserve">LOJA PARNAÍBA SHOPPING                                      </t>
  </si>
  <si>
    <t>Loja 52</t>
  </si>
  <si>
    <t xml:space="preserve">SMART V3 VAREJAO ATACAREJO                                  </t>
  </si>
  <si>
    <t xml:space="preserve">54.743.177 ALVARO FELIPE LIMA BEZERRA   </t>
  </si>
  <si>
    <t xml:space="preserve">aflbcompanype@gmail.com                                                                                                                               </t>
  </si>
  <si>
    <t>Av. Sebastiao Neri De Almeida</t>
  </si>
  <si>
    <t>Passira</t>
  </si>
  <si>
    <t>55650000</t>
  </si>
  <si>
    <t>-7.9763170</t>
  </si>
  <si>
    <t>-35.5817327</t>
  </si>
  <si>
    <t xml:space="preserve">SMART V3 ASSAI ANCHIETA                                     </t>
  </si>
  <si>
    <t xml:space="preserve">53.364.456 LUCIANO DE JESUS CHANO       </t>
  </si>
  <si>
    <t>Rua Adolfo Laves</t>
  </si>
  <si>
    <t>Vila Valparaíso</t>
  </si>
  <si>
    <t>Santo André</t>
  </si>
  <si>
    <t>09060-000</t>
  </si>
  <si>
    <t xml:space="preserve">FULL SHOPPING VALE DO ACO                                   </t>
  </si>
  <si>
    <t xml:space="preserve">comercialtouti@gmail.com                                                                                                                              </t>
  </si>
  <si>
    <t xml:space="preserve">SMART ESTILO VIP LIVRAMENTO DE NOSSA SRA                    </t>
  </si>
  <si>
    <t xml:space="preserve">54.795.758 EDUARDA PEREIRA DA SILVA     </t>
  </si>
  <si>
    <t xml:space="preserve">20eduardapereira@gmail.com                                                                                                                            </t>
  </si>
  <si>
    <t>Livramento De Nossa Senhora</t>
  </si>
  <si>
    <t>Apt 146</t>
  </si>
  <si>
    <t>46140000</t>
  </si>
  <si>
    <t>-13.6451172</t>
  </si>
  <si>
    <t>-41.8960926</t>
  </si>
  <si>
    <t xml:space="preserve">SMART CENTRO XIQUE XIQUE                                    </t>
  </si>
  <si>
    <t xml:space="preserve">ABELHINHA BABY LTDA                     </t>
  </si>
  <si>
    <t xml:space="preserve">abelhinhababys2@gmail.com                                                                                                                             </t>
  </si>
  <si>
    <t>Rua Joao Guimaraes</t>
  </si>
  <si>
    <t>Xique-Xique</t>
  </si>
  <si>
    <t>47400000</t>
  </si>
  <si>
    <t xml:space="preserve">SMART V3 TERMINAL RODOVIARIO NOVO REPARTIMENTO              </t>
  </si>
  <si>
    <t>Avenida Brasil</t>
  </si>
  <si>
    <t xml:space="preserve">SMART ESTAÇÃO DA LUZ 2                                      </t>
  </si>
  <si>
    <t xml:space="preserve">administrativo@toutipremium.com.br                                                                                         </t>
  </si>
  <si>
    <t>Rua Miguel Mauricio Ramalho</t>
  </si>
  <si>
    <t>Quiosqq128</t>
  </si>
  <si>
    <t xml:space="preserve">SMART V3 CENTRO JUAZEIRO                                    </t>
  </si>
  <si>
    <t xml:space="preserve">TOUTICJ LTDA                            </t>
  </si>
  <si>
    <t xml:space="preserve">pamelaramox@gmail.com                                                                                                                                 </t>
  </si>
  <si>
    <t>Rodovia Br-407 5318 Quilômetro 05</t>
  </si>
  <si>
    <t>Distrito Industrial</t>
  </si>
  <si>
    <t>48909901</t>
  </si>
  <si>
    <t xml:space="preserve">SMART V3 ASSAI BOA VIAGEM                                   </t>
  </si>
  <si>
    <t xml:space="preserve">54.913.492 LUCILENA CARLOS DE QUEIROZ   </t>
  </si>
  <si>
    <t xml:space="preserve">toutimixpe3@gmail.com                                                                                                                                 </t>
  </si>
  <si>
    <t>Av Engenheiro Domingos Ferreira</t>
  </si>
  <si>
    <t>51011050</t>
  </si>
  <si>
    <t>-8.0958042</t>
  </si>
  <si>
    <t>-34.8860378</t>
  </si>
  <si>
    <t xml:space="preserve">SMART ASSAI ATACADISTA EPITACIO PESSOA                      </t>
  </si>
  <si>
    <t>R Wilson Gonçalves De Oliveira</t>
  </si>
  <si>
    <t xml:space="preserve">SMART ASSAI ATACADISTA MUSSURUNGA                           </t>
  </si>
  <si>
    <t>Avenida Dr Lauro Mota</t>
  </si>
  <si>
    <t xml:space="preserve">SMART SHOP BOULEVARD VILA VELHA                             </t>
  </si>
  <si>
    <t xml:space="preserve">TOUTI COSMETICOS LTDA                   </t>
  </si>
  <si>
    <t xml:space="preserve">toutishoppingboulevard@gmail.com                                                                                       </t>
  </si>
  <si>
    <t>Rod Do Sol, 5000</t>
  </si>
  <si>
    <t>Edif Salvador Shopping Loja 0137 Quiosqq1 28 Touti</t>
  </si>
  <si>
    <t>Jockey De Itaparica</t>
  </si>
  <si>
    <t>29103900</t>
  </si>
  <si>
    <t>-20.3930108</t>
  </si>
  <si>
    <t>-40.3183222</t>
  </si>
  <si>
    <t xml:space="preserve">SMART ASSAI ATACADISTA PRESIDENTE KENNEDY                   </t>
  </si>
  <si>
    <t xml:space="preserve">ANA CRISTINA CARVALHO DA SILVA          </t>
  </si>
  <si>
    <t>Avenida Raul Lopes</t>
  </si>
  <si>
    <t>Quiosqq136 Pavmto01</t>
  </si>
  <si>
    <t xml:space="preserve">FULL PATIO MACEIO II                                        </t>
  </si>
  <si>
    <t xml:space="preserve">SMART CENTRO PEDRO LEOPOLDO                                 </t>
  </si>
  <si>
    <t>49.621.750 PEDRO CLEMENTINO DE ANDRADE J</t>
  </si>
  <si>
    <t xml:space="preserve">inforlineinfor@gmail.com                                                                                                                              </t>
  </si>
  <si>
    <t>Rua Comendador Antonio Alves</t>
  </si>
  <si>
    <t>Pedro Leopoldo</t>
  </si>
  <si>
    <t>33250033</t>
  </si>
  <si>
    <t>-19.6219094</t>
  </si>
  <si>
    <t>-44.0409319</t>
  </si>
  <si>
    <t xml:space="preserve">SMART CENTRO CAJUEIRO                                       </t>
  </si>
  <si>
    <t>54.493.490 THIALEN DE MELO BASILIO BARRO</t>
  </si>
  <si>
    <t xml:space="preserve">mthialen@gmail.com                                                                                                                                    </t>
  </si>
  <si>
    <t>R Dos Lajedos</t>
  </si>
  <si>
    <t>Loja B</t>
  </si>
  <si>
    <t>57770000</t>
  </si>
  <si>
    <t xml:space="preserve">SMART V3 EL CAMINO JACUNDA                                  </t>
  </si>
  <si>
    <t>Av Brasil</t>
  </si>
  <si>
    <t xml:space="preserve">SMART V3 MERCADO FENIX BREU BRANCO                          </t>
  </si>
  <si>
    <t xml:space="preserve">SMART FARMA JULIANA ITAMBE                                  </t>
  </si>
  <si>
    <t xml:space="preserve">DROGARIA E FARMACIA FARMA LTDA          </t>
  </si>
  <si>
    <t xml:space="preserve">farmaciajulianaitambe@gmail.com                                                                                                                       </t>
  </si>
  <si>
    <t>Rua Lauro De Freitas</t>
  </si>
  <si>
    <t>Quadra02</t>
  </si>
  <si>
    <t>45140000</t>
  </si>
  <si>
    <t xml:space="preserve">SMART SUPER FERREIRA AGUA BRANCA                            </t>
  </si>
  <si>
    <t xml:space="preserve">51.004.334 MARCIA SAMPAIO DA CRUZ       </t>
  </si>
  <si>
    <t xml:space="preserve">marciascruz2017@gmail.com                                                                                                                             </t>
  </si>
  <si>
    <t>Água Branca</t>
  </si>
  <si>
    <t>Poeirao</t>
  </si>
  <si>
    <t>64460000</t>
  </si>
  <si>
    <t>-5.8950380</t>
  </si>
  <si>
    <t>-42.6368104</t>
  </si>
  <si>
    <t xml:space="preserve">SMART ASSAI ATACADISTA ADELIA FRANCO                        </t>
  </si>
  <si>
    <t>54.356.949 JERUZELITA ROCHA SANTOS DA SI</t>
  </si>
  <si>
    <t>R Japoata</t>
  </si>
  <si>
    <t>Suica</t>
  </si>
  <si>
    <t>49050390</t>
  </si>
  <si>
    <t>-10.9242757</t>
  </si>
  <si>
    <t>-37.0652971</t>
  </si>
  <si>
    <t xml:space="preserve">SMART CENTRO SURUBIM II                                     </t>
  </si>
  <si>
    <t xml:space="preserve">vitoriacosta11@icloud.com;visilva1106@gmail.com                                                                                                       </t>
  </si>
  <si>
    <t xml:space="preserve">SMART ASSAI IGUATU                                          </t>
  </si>
  <si>
    <t xml:space="preserve">55.050.806 JESSYCA SILVA XIMENES        </t>
  </si>
  <si>
    <t xml:space="preserve">jessycasilvax@hotmail.com                                                                                                                             </t>
  </si>
  <si>
    <t xml:space="preserve">FULL SHOPPING MONTE CARMO BETIM                             </t>
  </si>
  <si>
    <t>55.134.978 DAIANE CRISTINA GUERHARDT DOS</t>
  </si>
  <si>
    <t xml:space="preserve">daiane.guerhardt@gmail.com                                                                                                                            </t>
  </si>
  <si>
    <t>Av Juiz Marco Tulio Isaac</t>
  </si>
  <si>
    <t>Inga Alto</t>
  </si>
  <si>
    <t>32604-345</t>
  </si>
  <si>
    <t xml:space="preserve">SMART ASSAI ATACADISTA SÃO CAETANO DO SUL                   </t>
  </si>
  <si>
    <t xml:space="preserve">TLO COSMETICOS LTDA                     </t>
  </si>
  <si>
    <t>Avenida Goias</t>
  </si>
  <si>
    <t>Sao Caetano Do Sul</t>
  </si>
  <si>
    <t>09510-021</t>
  </si>
  <si>
    <t xml:space="preserve">SMART MIX MATEUS FLORIANO                                   </t>
  </si>
  <si>
    <t>Br-230</t>
  </si>
  <si>
    <t>Sambaíba Nova</t>
  </si>
  <si>
    <t>Floriano</t>
  </si>
  <si>
    <t>64804140</t>
  </si>
  <si>
    <t xml:space="preserve">SMART ASSAI ATACADISTA GOLF CLUB                            </t>
  </si>
  <si>
    <t xml:space="preserve">TOUTI BEN LTDA                          </t>
  </si>
  <si>
    <t xml:space="preserve">filipy.scadv@hotmail.com                                                                                                                              </t>
  </si>
  <si>
    <t>Avenida Antônio Carlos Magalhães, Lado Ímpar</t>
  </si>
  <si>
    <t>Parque Bela Vista</t>
  </si>
  <si>
    <t>40280000</t>
  </si>
  <si>
    <t>-12.9884786</t>
  </si>
  <si>
    <t>-38.4698472</t>
  </si>
  <si>
    <t xml:space="preserve">SMART ASSAI ATACADISTA SANTA ROSA CUIABA                    </t>
  </si>
  <si>
    <t>Avenida Brasilia</t>
  </si>
  <si>
    <t>Jardim Das Americas</t>
  </si>
  <si>
    <t xml:space="preserve">SMART MERCADO OLIVEIRA IPAUMIRIM                            </t>
  </si>
  <si>
    <t>41.743.751 TEREZA LAURA DANTAS NOBREGA N</t>
  </si>
  <si>
    <t xml:space="preserve">terezalauranutri@hotmail.com                                                                                                                          </t>
  </si>
  <si>
    <t>Rua Bento Vieira</t>
  </si>
  <si>
    <t>Ipaumirim</t>
  </si>
  <si>
    <t>63340000</t>
  </si>
  <si>
    <t xml:space="preserve">SMART R CARVALHO BARRAS                                     </t>
  </si>
  <si>
    <t>10A Avenida Joao De Paiva</t>
  </si>
  <si>
    <t>Setor 26 Quiosqqs020</t>
  </si>
  <si>
    <t xml:space="preserve">SMART BAHIA OUTLET CENTER                                   </t>
  </si>
  <si>
    <t>Casa 108</t>
  </si>
  <si>
    <t xml:space="preserve">FULL BARUERI PARQUE SHOPPING                                </t>
  </si>
  <si>
    <t>MM4 COMERCIO DE COSMETICOS SOCIEDADE UNI</t>
  </si>
  <si>
    <t xml:space="preserve">milena@toutisp.com.br;boletossp@touticosmetics.com.br;administrativo@toutisp.com.br                                                                   </t>
  </si>
  <si>
    <t>Rua General De Divisão De Pedro Rodrigues Da Silva</t>
  </si>
  <si>
    <t>Nova Aldeinha</t>
  </si>
  <si>
    <t>6440180</t>
  </si>
  <si>
    <t xml:space="preserve">SMART CENTRO VALENCA DO PIAUI                               </t>
  </si>
  <si>
    <t xml:space="preserve">MILEIDE MARIANY SOARES 02128561388      </t>
  </si>
  <si>
    <t xml:space="preserve">mileidemarianysoares@gmail.com                                                                                                                        </t>
  </si>
  <si>
    <t>Valença Do Piauí</t>
  </si>
  <si>
    <t>Quiosqq117</t>
  </si>
  <si>
    <t>64300000</t>
  </si>
  <si>
    <t>-6.4048149</t>
  </si>
  <si>
    <t>-41.7382812</t>
  </si>
  <si>
    <t xml:space="preserve">SMART GBARBOSA BARRA DOS COQUEIROS                          </t>
  </si>
  <si>
    <t>55.157.574 ELISANGELA BARRETO VASCONCELO</t>
  </si>
  <si>
    <t xml:space="preserve">eli.hidroshop@hotmail.com                                                                                                                             </t>
  </si>
  <si>
    <t>Travessa Nossa Senhora De Lourdes</t>
  </si>
  <si>
    <t>Barra Dos Coqueiros</t>
  </si>
  <si>
    <t>49140362</t>
  </si>
  <si>
    <t>-10.9054754</t>
  </si>
  <si>
    <t>-37.0374368</t>
  </si>
  <si>
    <t xml:space="preserve">SMART GEPAO CAMPO MAGRO                                     </t>
  </si>
  <si>
    <t xml:space="preserve">DAX PERFUMARIA LTDA                     </t>
  </si>
  <si>
    <t xml:space="preserve">danct@hotmail.com                                                                                                                                     </t>
  </si>
  <si>
    <t>Campo Magro</t>
  </si>
  <si>
    <t>Samambaia</t>
  </si>
  <si>
    <t>83535000</t>
  </si>
  <si>
    <t xml:space="preserve">LOJA CENTRO PALMARES                                        </t>
  </si>
  <si>
    <t xml:space="preserve">pollianamelo@hotmail.com;ronaldobelisario@hotmail.com                                                                                                 </t>
  </si>
  <si>
    <t>Rua Santos Dumont</t>
  </si>
  <si>
    <t>Santo Antônio</t>
  </si>
  <si>
    <t>55293025</t>
  </si>
  <si>
    <t>-8.8905448</t>
  </si>
  <si>
    <t>-36.4953141</t>
  </si>
  <si>
    <t xml:space="preserve">SMART PARTAGE RIO GRANDE                                    </t>
  </si>
  <si>
    <t xml:space="preserve">41.109.055 JOSIANE DA SILVA DEMARCO     </t>
  </si>
  <si>
    <t xml:space="preserve">josiane.demarco@hotmail.com                                                                                                                           </t>
  </si>
  <si>
    <t>Rua Almirante Anphiloquio Reis</t>
  </si>
  <si>
    <t>Quiosqqun-03</t>
  </si>
  <si>
    <t>Vila Militar</t>
  </si>
  <si>
    <t>Rio Grande</t>
  </si>
  <si>
    <t>96201240</t>
  </si>
  <si>
    <t xml:space="preserve">SMART ASSAI MARIA LACERDA                                   </t>
  </si>
  <si>
    <t xml:space="preserve">F M GALVAO COSMETICOS E AROMAS LTDA     </t>
  </si>
  <si>
    <t xml:space="preserve">franklingalvaojr@gmail.com                                                                                                                            </t>
  </si>
  <si>
    <t>Avenida Maria Lacerda Montenegro</t>
  </si>
  <si>
    <t>Nova Parnamirim</t>
  </si>
  <si>
    <t>59152600</t>
  </si>
  <si>
    <t>-5.8892189</t>
  </si>
  <si>
    <t>-35.2080751</t>
  </si>
  <si>
    <t xml:space="preserve">FULL SHOPPING LAGO CENTER                                   </t>
  </si>
  <si>
    <t>29570244 ANTOLIANO VANDRE PARENTE DE ALE</t>
  </si>
  <si>
    <t>R Florencio Machado</t>
  </si>
  <si>
    <t>Quiosqq1</t>
  </si>
  <si>
    <t>Loteamento Jardim America</t>
  </si>
  <si>
    <t xml:space="preserve">FULL PARQUE SHOPPING BAHIA                                  </t>
  </si>
  <si>
    <t xml:space="preserve">MJ LAURO DE FREITAS COSMETICOS LTDA     </t>
  </si>
  <si>
    <t>Avenida Santos Dumont</t>
  </si>
  <si>
    <t>Lauro De Freitas</t>
  </si>
  <si>
    <t>42700-170</t>
  </si>
  <si>
    <t xml:space="preserve">SMART TERMINAL ALVORADA                                     </t>
  </si>
  <si>
    <t xml:space="preserve">BETINA PERFUMARIA E MODA FEMININA LTDA  </t>
  </si>
  <si>
    <t xml:space="preserve">cidacosta.ma@gmail.com;carlacristina.rch@gmail.com                                                                                                    </t>
  </si>
  <si>
    <t>Rua Professor Alfredo Gonçalves Figueira</t>
  </si>
  <si>
    <t>Nilópolis</t>
  </si>
  <si>
    <t>26525060</t>
  </si>
  <si>
    <t>-22.8061781</t>
  </si>
  <si>
    <t>-43.4182955</t>
  </si>
  <si>
    <t xml:space="preserve">SMART HIPER DB JAPIIM                                       </t>
  </si>
  <si>
    <t xml:space="preserve">VICTOR H. G. PEDROSO LTDA               </t>
  </si>
  <si>
    <t>Avenida Djalma Batista</t>
  </si>
  <si>
    <t>Quiosq007 Touti Cosmeticos</t>
  </si>
  <si>
    <t>Flores</t>
  </si>
  <si>
    <t xml:space="preserve">SMART HIPER DB PARQUE 10                                    </t>
  </si>
  <si>
    <t xml:space="preserve">SMART SUPERMERCADO DB TORQUATO                              </t>
  </si>
  <si>
    <t xml:space="preserve">FULL SHOPPING DA BAHIA                                      </t>
  </si>
  <si>
    <t xml:space="preserve">M J DA C SALVIANO COSMETICOS LTDA       </t>
  </si>
  <si>
    <t>Avenida Tancredo Neves 148</t>
  </si>
  <si>
    <t>41820908</t>
  </si>
  <si>
    <t xml:space="preserve">SMART DB EDUARDO RIBEIRO                                    </t>
  </si>
  <si>
    <t xml:space="preserve">LOJA BOULEVARD BAURU                                        </t>
  </si>
  <si>
    <t xml:space="preserve">55.559.598 BRUNA ORTIZ ALVES            </t>
  </si>
  <si>
    <t xml:space="preserve">bruna.ortizalves@gmail.com                                                                                                                            </t>
  </si>
  <si>
    <t>R General Marcondes Salgado Quadra</t>
  </si>
  <si>
    <t>Chacara Das Flores</t>
  </si>
  <si>
    <t>Bauru</t>
  </si>
  <si>
    <t>17013113</t>
  </si>
  <si>
    <t>-22.3153259</t>
  </si>
  <si>
    <t>-49.0585272</t>
  </si>
  <si>
    <t xml:space="preserve">SMART SHOP PLAZA PAU DOS FERROS                             </t>
  </si>
  <si>
    <t xml:space="preserve">G F FERREIRA RN LTDA                    </t>
  </si>
  <si>
    <t xml:space="preserve">gilsivania.1012@icloud.com;gilsivania.1012@gmail.com                                                                                                  </t>
  </si>
  <si>
    <t>Pc Da Matriz</t>
  </si>
  <si>
    <t>Quiosq1070/791/14-Q3 Loja 260 - Assai Mooca</t>
  </si>
  <si>
    <t>Pau Dos Ferros</t>
  </si>
  <si>
    <t>59900000</t>
  </si>
  <si>
    <t>-6.1124964</t>
  </si>
  <si>
    <t>-38.2062628</t>
  </si>
  <si>
    <t xml:space="preserve">SMART LOPES SUPER GUARULHOS                                 </t>
  </si>
  <si>
    <t>55.602.725 MONAIZE STEFANIE BEZERRA LIMA</t>
  </si>
  <si>
    <t xml:space="preserve">oasplanet@hotmail.com                                                                                                                                 </t>
  </si>
  <si>
    <t>R Nove</t>
  </si>
  <si>
    <t>Quiosqterreo Plaza Shoping</t>
  </si>
  <si>
    <t>Sitio Sao Francisco</t>
  </si>
  <si>
    <t>7261430</t>
  </si>
  <si>
    <t xml:space="preserve">SMART ASSAI SERRA                                           </t>
  </si>
  <si>
    <t xml:space="preserve">55.572.590 INGRID MARQUES DE CARVALHO   </t>
  </si>
  <si>
    <t>Av Iriri</t>
  </si>
  <si>
    <t>Edif Shopping Da Bahia Quiosq107 Piso 1</t>
  </si>
  <si>
    <t>Planalto De Carapina</t>
  </si>
  <si>
    <t>Serra</t>
  </si>
  <si>
    <t>29163-345</t>
  </si>
  <si>
    <t xml:space="preserve">SMART SUPER BOM HIPERMERCADO                                </t>
  </si>
  <si>
    <t>55.683.968 SONIA APARECIDA SOARES DOS SA</t>
  </si>
  <si>
    <t xml:space="preserve">soniasoaressantos@yahoo.com.br                                                                                                                        </t>
  </si>
  <si>
    <t>Av Manoel Athaide</t>
  </si>
  <si>
    <t>Box Touti Q1</t>
  </si>
  <si>
    <t>Esplanada</t>
  </si>
  <si>
    <t>Janaúba</t>
  </si>
  <si>
    <t>39440-000</t>
  </si>
  <si>
    <t xml:space="preserve">SMART SHOPPING MAR GUARAPARI                                </t>
  </si>
  <si>
    <t xml:space="preserve">TOUTI SHOPPING MAR LTDA                 </t>
  </si>
  <si>
    <t xml:space="preserve">flavianemotta023@gmail.com                                                                                                                            </t>
  </si>
  <si>
    <t>Av Beira Mar</t>
  </si>
  <si>
    <t>Loja 12</t>
  </si>
  <si>
    <t>Praia Do Morro</t>
  </si>
  <si>
    <t>Guarapari</t>
  </si>
  <si>
    <t>29216010</t>
  </si>
  <si>
    <t>-20.6538353</t>
  </si>
  <si>
    <t>-40.4742322</t>
  </si>
  <si>
    <t xml:space="preserve">SMART SUPER IRMAOS SOUZA AUGUSTINOPOLIS                     </t>
  </si>
  <si>
    <t xml:space="preserve">55.725.354 ELIAS EUGENIO DA SILVA       </t>
  </si>
  <si>
    <t xml:space="preserve">eliaseugenio732@gmail.com                                                                                                                             </t>
  </si>
  <si>
    <t>10A Rua Anicuns</t>
  </si>
  <si>
    <t>Tres Poderes</t>
  </si>
  <si>
    <t>Augustinópolis</t>
  </si>
  <si>
    <t>77960000</t>
  </si>
  <si>
    <t>-5.4662267</t>
  </si>
  <si>
    <t>-47.8897519</t>
  </si>
  <si>
    <t xml:space="preserve">SMART REALMAT CUIABA                                        </t>
  </si>
  <si>
    <t xml:space="preserve">55.713.962 BARBARA DA SILVA OLIVEIRA    </t>
  </si>
  <si>
    <t xml:space="preserve">barbaraoliveira.2024@hotmail.com                                                                                                                      </t>
  </si>
  <si>
    <t>R Pedro Jose Ferreira S/N</t>
  </si>
  <si>
    <t>Ikaray</t>
  </si>
  <si>
    <t>78130900</t>
  </si>
  <si>
    <t>-15.6777025</t>
  </si>
  <si>
    <t>-56.1295845</t>
  </si>
  <si>
    <t xml:space="preserve">SMART LOPES SUPER ITAQUERA                                  </t>
  </si>
  <si>
    <t xml:space="preserve">SMART PICUI                                                 </t>
  </si>
  <si>
    <t xml:space="preserve">RISELIA DE MACEDO DANTAS 03309011410    </t>
  </si>
  <si>
    <t xml:space="preserve">tullyanekayan@gmail.com                                                                                                                               </t>
  </si>
  <si>
    <t>R Alipio Cavalcante</t>
  </si>
  <si>
    <t>Apt 12;Bloco E</t>
  </si>
  <si>
    <t>Monte Santo</t>
  </si>
  <si>
    <t>Picuí</t>
  </si>
  <si>
    <t>58187000</t>
  </si>
  <si>
    <t>-6.5106721</t>
  </si>
  <si>
    <t>-36.3492736</t>
  </si>
  <si>
    <t xml:space="preserve">SMART HORIZONTE CE                                          </t>
  </si>
  <si>
    <t>SOCORRO MARIA MOURA DO NASCIMENTO NOGUEI</t>
  </si>
  <si>
    <t xml:space="preserve">toutivideira@gmail.com                                                                                                                                </t>
  </si>
  <si>
    <t>R 6 (Cj Pequeno Mondubim)</t>
  </si>
  <si>
    <t>Mondubim</t>
  </si>
  <si>
    <t>60762635</t>
  </si>
  <si>
    <t xml:space="preserve">SMART CARREFOUR GIOVANNI GRONCHI                            </t>
  </si>
  <si>
    <t>Avenida Alberto Augusto Alves</t>
  </si>
  <si>
    <t>Vila Andrade</t>
  </si>
  <si>
    <t>05724-005</t>
  </si>
  <si>
    <t xml:space="preserve">SMART SHOPPING LARANJEIRAS                                  </t>
  </si>
  <si>
    <t>55.878.957 ARTHUR FELLIPE DA SILVA ROCHA</t>
  </si>
  <si>
    <t xml:space="preserve">quinttelas@gmail.com                                                                                                                                  </t>
  </si>
  <si>
    <t>Avenida Primeira Avenida</t>
  </si>
  <si>
    <t>Parque Residencial Laranjeiras</t>
  </si>
  <si>
    <t>29165155</t>
  </si>
  <si>
    <t>-20.1973054</t>
  </si>
  <si>
    <t>-40.2555540</t>
  </si>
  <si>
    <t xml:space="preserve">SMART BRETAS CORONEL PRATES                                 </t>
  </si>
  <si>
    <t>Andar 01;Quiosq 02</t>
  </si>
  <si>
    <t xml:space="preserve">SMART SUPER DINIZ                                           </t>
  </si>
  <si>
    <t xml:space="preserve">SANTOS OLIVEIRA E FERREIRA LTDA         </t>
  </si>
  <si>
    <t xml:space="preserve">toutiperfumespetrolina@gmail.com                                                                                                                      </t>
  </si>
  <si>
    <t>Avenida Maria Letícia Leite Pereira</t>
  </si>
  <si>
    <t>Planalto</t>
  </si>
  <si>
    <t>63048-080</t>
  </si>
  <si>
    <t xml:space="preserve">SMART SUPER DINIZ CRATO                                     </t>
  </si>
  <si>
    <t>Avenida São Sebastião</t>
  </si>
  <si>
    <t>Sossego</t>
  </si>
  <si>
    <t>Crato</t>
  </si>
  <si>
    <t>63107147</t>
  </si>
  <si>
    <t xml:space="preserve">SMART CENTRO BARRA                                          </t>
  </si>
  <si>
    <t xml:space="preserve">30.744.925 ROZIMEIRE LEITAO DOS SANTOS  </t>
  </si>
  <si>
    <t xml:space="preserve">toutinabarra@gmail.com                                                                                                                                </t>
  </si>
  <si>
    <t>10 R Rua Barao Vila Da Barra</t>
  </si>
  <si>
    <t>Barra</t>
  </si>
  <si>
    <t>47100000</t>
  </si>
  <si>
    <t xml:space="preserve">SMART BURITI SHOP GUARA                                     </t>
  </si>
  <si>
    <t xml:space="preserve">TOUTI GUARA LTDA                        </t>
  </si>
  <si>
    <t xml:space="preserve">toutivaledoparaiba@gmail.com                                                                                                                          </t>
  </si>
  <si>
    <t>Av Juscelino Kubitschek De Oliveira</t>
  </si>
  <si>
    <t>Campo Do Galvao</t>
  </si>
  <si>
    <t>Guaratingueta</t>
  </si>
  <si>
    <t>12505300</t>
  </si>
  <si>
    <t>-22.8121695</t>
  </si>
  <si>
    <t>-45.2014791</t>
  </si>
  <si>
    <t xml:space="preserve">SMART QUEIROZ ATACADAO NOVA PARNAMIRIM                      </t>
  </si>
  <si>
    <t xml:space="preserve">TOUTI COSMETICS RN LTDA                 </t>
  </si>
  <si>
    <t xml:space="preserve">touticosmeticsviprn@gmail.com                                                                                                                         </t>
  </si>
  <si>
    <t>Av Olavo Lacerda Montenegro</t>
  </si>
  <si>
    <t>Parque Das Árvores</t>
  </si>
  <si>
    <t>59152-800</t>
  </si>
  <si>
    <t xml:space="preserve">SMART CENTRO BRUMADO                                        </t>
  </si>
  <si>
    <t xml:space="preserve">56.039.071 TACIO RYAN NEVES DE OLIVEIRA </t>
  </si>
  <si>
    <t>10 R Doutor Vital Soares</t>
  </si>
  <si>
    <t>Andar 1202 C</t>
  </si>
  <si>
    <t>Macaúbas</t>
  </si>
  <si>
    <t>46500000</t>
  </si>
  <si>
    <t>-13.0174846</t>
  </si>
  <si>
    <t>-42.6882221</t>
  </si>
  <si>
    <t xml:space="preserve">SMART CENTRO ALMENARA                                       </t>
  </si>
  <si>
    <t xml:space="preserve">55.901.013 RAQUEL FAGUNDES FRAPORTI     </t>
  </si>
  <si>
    <t xml:space="preserve">rakelffraporti@gmail.com                                                                                                                              </t>
  </si>
  <si>
    <t>Av Olindo De Miranda</t>
  </si>
  <si>
    <t>Quiosq0006</t>
  </si>
  <si>
    <t>Almenara</t>
  </si>
  <si>
    <t>39900000</t>
  </si>
  <si>
    <t>-16.1753775</t>
  </si>
  <si>
    <t>-40.6916675</t>
  </si>
  <si>
    <t xml:space="preserve">SMART GALERIA JORGE AMADO                                   </t>
  </si>
  <si>
    <t xml:space="preserve">SVE COMERCIO DE PERFUMARIA LTDA         </t>
  </si>
  <si>
    <t xml:space="preserve">toutiadm@gmail.com                                                                                                                                    </t>
  </si>
  <si>
    <t>Avenida Tancredo Neves</t>
  </si>
  <si>
    <t>Nossa Senhora Da Vitoria</t>
  </si>
  <si>
    <t>Ilhéus</t>
  </si>
  <si>
    <t>45655650</t>
  </si>
  <si>
    <t xml:space="preserve">FULL NORTESHOPPING                                          </t>
  </si>
  <si>
    <t>Avenida Dom Helder Camara</t>
  </si>
  <si>
    <t>Loja Bl B</t>
  </si>
  <si>
    <t>Cachambi</t>
  </si>
  <si>
    <t>20771004</t>
  </si>
  <si>
    <t>-22.8872815</t>
  </si>
  <si>
    <t>-43.2861578</t>
  </si>
  <si>
    <t xml:space="preserve">SMART TRINDADE                                              </t>
  </si>
  <si>
    <t xml:space="preserve">54429441 YURI TEIXEIRA DA SILVA         </t>
  </si>
  <si>
    <t xml:space="preserve">yuriconexao50@gmail.com                                                                                                                               </t>
  </si>
  <si>
    <t>R 44</t>
  </si>
  <si>
    <t>Setor Norte Ferroviario</t>
  </si>
  <si>
    <t>Goiania</t>
  </si>
  <si>
    <t xml:space="preserve">FULL OSASCO PLAZA                                           </t>
  </si>
  <si>
    <t xml:space="preserve">administrativo@toutisp.com.br;boletossp@touticosmetics.com.br                                                                                         </t>
  </si>
  <si>
    <t>Avenida Dos Autonomistas</t>
  </si>
  <si>
    <t xml:space="preserve">RIOMAR ARACAJU II                                           </t>
  </si>
  <si>
    <t xml:space="preserve">GOMES ALESSANDRO AM PERFUMES LTDA       </t>
  </si>
  <si>
    <t xml:space="preserve">alessandro.touti@outlook.pt;anaaires.touti@outlook.com                                                                                                </t>
  </si>
  <si>
    <t xml:space="preserve">FULL PORTO VELHO SHOP                                       </t>
  </si>
  <si>
    <t xml:space="preserve">A. B. COMERCIO DE COSMETICOS LTDA       </t>
  </si>
  <si>
    <t>Avenida Prefeito Chiquilito Erse</t>
  </si>
  <si>
    <t>Flodoaldo Pontes Pinto</t>
  </si>
  <si>
    <t>Porto Velho</t>
  </si>
  <si>
    <t>76820408</t>
  </si>
  <si>
    <t>-8.7595691</t>
  </si>
  <si>
    <t>-63.8745642</t>
  </si>
  <si>
    <t xml:space="preserve">SMART ASSAI ATACADISTA JEQUIE                               </t>
  </si>
  <si>
    <t xml:space="preserve">55.313.617 CAIO SANTOS GOMES            </t>
  </si>
  <si>
    <t xml:space="preserve">touti.assaijequie@gmail.com                                                                                                                           </t>
  </si>
  <si>
    <t>Rua Candinha Barreto</t>
  </si>
  <si>
    <t>Jequiezinho</t>
  </si>
  <si>
    <t>Jequié</t>
  </si>
  <si>
    <t>45208267</t>
  </si>
  <si>
    <t>-13.8655247</t>
  </si>
  <si>
    <t>-40.0610707</t>
  </si>
  <si>
    <t xml:space="preserve">ASSAI BARREIRAS                                             </t>
  </si>
  <si>
    <t xml:space="preserve">anderson_phablo@hotmail.com                                                                                                                           </t>
  </si>
  <si>
    <t>R Jose Amorim Brandao</t>
  </si>
  <si>
    <t xml:space="preserve">SMART ASSAI ATACADISTA MOSSORO                              </t>
  </si>
  <si>
    <t xml:space="preserve">SMART ASSAI ATACADISTA ANGELIM                              </t>
  </si>
  <si>
    <t xml:space="preserve">MARNA PEDROSO BRINGEL DE OLIVEIRA LTDA  </t>
  </si>
  <si>
    <t>Maranhão Novo</t>
  </si>
  <si>
    <t>65074-115</t>
  </si>
  <si>
    <t xml:space="preserve">SMART CENTRO VITORIA DA CONQUISTA                           </t>
  </si>
  <si>
    <t>Alameda Lima Guerra</t>
  </si>
  <si>
    <t>45000390</t>
  </si>
  <si>
    <t>-14.8518101</t>
  </si>
  <si>
    <t>-40.8383495</t>
  </si>
  <si>
    <t xml:space="preserve">SMART CALCADAO MAGE                                         </t>
  </si>
  <si>
    <t>Rua Doutor Siqueira</t>
  </si>
  <si>
    <t>: Con Ribamar Carvalho; Quadra: 176;</t>
  </si>
  <si>
    <t>25900094</t>
  </si>
  <si>
    <t>-22.6559628</t>
  </si>
  <si>
    <t>-43.0391951</t>
  </si>
  <si>
    <t xml:space="preserve">FULL PATIO ALCANTARA                                        </t>
  </si>
  <si>
    <t>RLB COMERCIO DE COSMETICOS E PERFUMES LT</t>
  </si>
  <si>
    <t xml:space="preserve">gruporlb.touti@gmail.com                                                                                                                              </t>
  </si>
  <si>
    <t>R Ministro Otavio Kelly</t>
  </si>
  <si>
    <t>Icarai</t>
  </si>
  <si>
    <t>24220301</t>
  </si>
  <si>
    <t>-22.9044950</t>
  </si>
  <si>
    <t>-43.1036224</t>
  </si>
  <si>
    <t xml:space="preserve">SMART CARAGUA PRAIA SHOPPING                                </t>
  </si>
  <si>
    <t>56.384.564 LETICIA DOS SANTOS SIQUEIRA D</t>
  </si>
  <si>
    <t xml:space="preserve">donamultiplicadora@gmail.com                                                                                                                          </t>
  </si>
  <si>
    <t>Rua José Do Patrocínio</t>
  </si>
  <si>
    <t>Apt 803</t>
  </si>
  <si>
    <t>Poiares</t>
  </si>
  <si>
    <t>Caraguatatuba</t>
  </si>
  <si>
    <t>11673190</t>
  </si>
  <si>
    <t xml:space="preserve">SMART COMETA SUPERMERCADO JULIO LIMA                        </t>
  </si>
  <si>
    <t xml:space="preserve">56.343.124 MARCIA VIEIRA DE OLIVEIRA    </t>
  </si>
  <si>
    <t xml:space="preserve">marciamarjorie1@hotmail.com                                                                                                                           </t>
  </si>
  <si>
    <t>Rua Escrivão Azevedo</t>
  </si>
  <si>
    <t>Cidade Dos Funcionários</t>
  </si>
  <si>
    <t>60822520</t>
  </si>
  <si>
    <t>-3.7929409</t>
  </si>
  <si>
    <t>-38.4985940</t>
  </si>
  <si>
    <t xml:space="preserve">SMART ASSAI ATACADISTA VITORIA AEROPORTO                    </t>
  </si>
  <si>
    <t xml:space="preserve">56.415.644 GUTENBERG SILVA CARVALHO     </t>
  </si>
  <si>
    <t>Avenida Fernando Ferrari</t>
  </si>
  <si>
    <t>Apt 404</t>
  </si>
  <si>
    <t>Goiabeiras</t>
  </si>
  <si>
    <t>29075010</t>
  </si>
  <si>
    <t>-20.2657990</t>
  </si>
  <si>
    <t>-40.2974234</t>
  </si>
  <si>
    <t xml:space="preserve">SMART CENTRO PEDREIRAS                                      </t>
  </si>
  <si>
    <t xml:space="preserve">TOUTI PEDREIRAS LTDA                    </t>
  </si>
  <si>
    <t xml:space="preserve">tezequieldesousaoliveira9@gmail.com                                                                          </t>
  </si>
  <si>
    <t>Av Rio Branco</t>
  </si>
  <si>
    <t>Pedreiras</t>
  </si>
  <si>
    <t>65725000</t>
  </si>
  <si>
    <t>-4.5687989</t>
  </si>
  <si>
    <t>-44.6003029</t>
  </si>
  <si>
    <t xml:space="preserve">SMART MIX MATEUS PEDREIRA                                   </t>
  </si>
  <si>
    <t xml:space="preserve">spolierfinanceiro@gmail.com                                                                                  </t>
  </si>
  <si>
    <t xml:space="preserve">SMART ASSAI VITORIA DA CONQUISTA                            </t>
  </si>
  <si>
    <t xml:space="preserve">SMART GALERIA BRANDAO                                       </t>
  </si>
  <si>
    <t xml:space="preserve">SMART MATEUS PEDREIRAS                                      </t>
  </si>
  <si>
    <t xml:space="preserve">ezequieldesousaoliveira9@gmail.com                                                                    </t>
  </si>
  <si>
    <t xml:space="preserve">SMART STORY SHOPPING ITAMARAJU                              </t>
  </si>
  <si>
    <t xml:space="preserve">56.182.815 PEDRO RAVANI FILHO           </t>
  </si>
  <si>
    <t xml:space="preserve">pedroravani@gmail.com                                                                                              </t>
  </si>
  <si>
    <t>Praca Nacoes Unidas</t>
  </si>
  <si>
    <t>Casa 1</t>
  </si>
  <si>
    <t>Itamaraju</t>
  </si>
  <si>
    <t>45836000</t>
  </si>
  <si>
    <t>-17.0340092</t>
  </si>
  <si>
    <t>-39.5315525</t>
  </si>
  <si>
    <t xml:space="preserve">SMART ASSAI ATACADISTA GUAJAJARAS                           </t>
  </si>
  <si>
    <t>51.677.959 RAIMUNDA ANGELICA CUNHA MENES</t>
  </si>
  <si>
    <t>Quiosqq20A</t>
  </si>
  <si>
    <t xml:space="preserve">SMART MATEUS JADERLANDIA                                    </t>
  </si>
  <si>
    <t xml:space="preserve">52.633.988 LAIS TORRES CUNHA            </t>
  </si>
  <si>
    <t xml:space="preserve">laistorres@gmail.com                                                                                                                                  </t>
  </si>
  <si>
    <t>AV BERNARDO SAYAO</t>
  </si>
  <si>
    <t>CONDOR</t>
  </si>
  <si>
    <t>BELEM</t>
  </si>
  <si>
    <t>66065122</t>
  </si>
  <si>
    <t>-1.4746844</t>
  </si>
  <si>
    <t>-48.4717738</t>
  </si>
  <si>
    <t xml:space="preserve">SMART GIL ATAREJO PB                                        </t>
  </si>
  <si>
    <t xml:space="preserve">gilsivania.1012@icloud.com                                                                                          </t>
  </si>
  <si>
    <t xml:space="preserve">FULL PANTANAL SHOP                                          </t>
  </si>
  <si>
    <t xml:space="preserve">HMO COSMETICOS LTDA                     </t>
  </si>
  <si>
    <t>Terreoquiosque 02</t>
  </si>
  <si>
    <t xml:space="preserve">MINI FULL BIG SHOP CONTAGEM                                 </t>
  </si>
  <si>
    <t xml:space="preserve">V.C.V COSMETICOS E PERFUMARIA LTDA      </t>
  </si>
  <si>
    <t xml:space="preserve">vcamposvianna@gmail.com                                                                                                                               </t>
  </si>
  <si>
    <t>Avenida João César De Oliveira, Até 2859 - Lado Ímpar</t>
  </si>
  <si>
    <t>Apt 102</t>
  </si>
  <si>
    <t>Eldorado</t>
  </si>
  <si>
    <t>32315000</t>
  </si>
  <si>
    <t>-19.9426680</t>
  </si>
  <si>
    <t>-44.0404403</t>
  </si>
  <si>
    <t xml:space="preserve">FULL PATIOMIX RESENDE                                       </t>
  </si>
  <si>
    <t xml:space="preserve">TOUTI PATIO MIX RESENDE LTDA            </t>
  </si>
  <si>
    <t xml:space="preserve">toutipatiomixresende@gmail.com                                                                                                                        </t>
  </si>
  <si>
    <t>Av Dorival Marcondes Godoy</t>
  </si>
  <si>
    <t>Quiosque</t>
  </si>
  <si>
    <t>Fazenda Castelo</t>
  </si>
  <si>
    <t>Resende</t>
  </si>
  <si>
    <t>27535320</t>
  </si>
  <si>
    <t>-22.4600812</t>
  </si>
  <si>
    <t>-44.4411481</t>
  </si>
  <si>
    <t xml:space="preserve">LOJA BELO JARDIM                                            </t>
  </si>
  <si>
    <t xml:space="preserve">YGO JOSE CAVALCANTI CINTRA              </t>
  </si>
  <si>
    <t xml:space="preserve">ygocintra@hotmail.com                                                                                                                                 </t>
  </si>
  <si>
    <t>R Mons Francisco De Assis Neves</t>
  </si>
  <si>
    <t>Quiosqq26</t>
  </si>
  <si>
    <t>Belo Jardim</t>
  </si>
  <si>
    <t>55150190</t>
  </si>
  <si>
    <t>-8.3311295</t>
  </si>
  <si>
    <t>-36.4191858</t>
  </si>
  <si>
    <t xml:space="preserve">SMART GBARBOSA NOSSA SRA DO SOCORRO                         </t>
  </si>
  <si>
    <t xml:space="preserve">51.593.668 JACQUELINE NOGUEIRA DA FE    </t>
  </si>
  <si>
    <t>10A Rua Monte Alegre</t>
  </si>
  <si>
    <t xml:space="preserve">SMART COLOMBO PARK SHOP                                     </t>
  </si>
  <si>
    <t xml:space="preserve">jamberti@hotmail.com                                                                                                                                  </t>
  </si>
  <si>
    <t>Rua Dorval Ceccon</t>
  </si>
  <si>
    <t>Colombo</t>
  </si>
  <si>
    <t>83405-240</t>
  </si>
  <si>
    <t xml:space="preserve">SMART SHOP LUIZA MOTTA                                      </t>
  </si>
  <si>
    <t>Cond Shopping</t>
  </si>
  <si>
    <t xml:space="preserve">SMART SUPER SAN FRANCISCO PETROLANDIA                       </t>
  </si>
  <si>
    <t xml:space="preserve">57.090.589 ADEILDA DA SILVA FERREIRA    </t>
  </si>
  <si>
    <t xml:space="preserve">toutipetrolandia@gmail.com                                                                                                                            </t>
  </si>
  <si>
    <t>Avenida Manoel Borba</t>
  </si>
  <si>
    <t>Petrolândia</t>
  </si>
  <si>
    <t>56460000</t>
  </si>
  <si>
    <t>-8.9701861</t>
  </si>
  <si>
    <t>-38.2213655</t>
  </si>
  <si>
    <t xml:space="preserve">FULL SHOP CIDADE JARDIM RN                                  </t>
  </si>
  <si>
    <t xml:space="preserve">TOUTI PERFUMARIA E COSMETICOS 6 LTDA    </t>
  </si>
  <si>
    <t xml:space="preserve">SMART ESTAÇÃO PIRAJA                                        </t>
  </si>
  <si>
    <t xml:space="preserve">SMART SUPER BOMQUESO CAMPINA GRANDE                         </t>
  </si>
  <si>
    <t>57.081.610 IVNA RAFAELA RIBEIRO DOS SANT</t>
  </si>
  <si>
    <t xml:space="preserve">ivnarafaela31@gmail.com                                                                                                                               </t>
  </si>
  <si>
    <t>Serrotão</t>
  </si>
  <si>
    <t>58432-570</t>
  </si>
  <si>
    <t xml:space="preserve">SMART MIX MATEUS ATACAREJO MAIOBAO                          </t>
  </si>
  <si>
    <t>Maranhao Novo</t>
  </si>
  <si>
    <t xml:space="preserve">SMART MIX MATEUS SANTO AMARO                                </t>
  </si>
  <si>
    <t xml:space="preserve">ALUSKA G DA COSTA COSMETICOS LTDA       </t>
  </si>
  <si>
    <t>Rua Álvaro Magalhães De Araújo</t>
  </si>
  <si>
    <t>Box Perfumes</t>
  </si>
  <si>
    <t>Itacuruba</t>
  </si>
  <si>
    <t>56430000</t>
  </si>
  <si>
    <t>-8.7267879</t>
  </si>
  <si>
    <t>-38.6868835</t>
  </si>
  <si>
    <t xml:space="preserve">SMART ASSAI ATACADISTA JOÃO DIAS                            </t>
  </si>
  <si>
    <t xml:space="preserve">A. R. S. GRANDE PERFUMES                </t>
  </si>
  <si>
    <t>Av Guido Caloi</t>
  </si>
  <si>
    <t>Loja Mix Mateus Antares Quiosqtouti</t>
  </si>
  <si>
    <t>Jardim Sao Luis</t>
  </si>
  <si>
    <t>05818-270</t>
  </si>
  <si>
    <t xml:space="preserve">SMART CENTRO TIMBAUBA                                       </t>
  </si>
  <si>
    <t xml:space="preserve">57.192.636 MARLI MARIA DOS SANTOS       </t>
  </si>
  <si>
    <t xml:space="preserve">chic.cheirosaa@gmail.com                                                                                                                              </t>
  </si>
  <si>
    <t>1 Tv Cleto Campelo</t>
  </si>
  <si>
    <t>Timbaúba</t>
  </si>
  <si>
    <t>55870000</t>
  </si>
  <si>
    <t>-7.5118822</t>
  </si>
  <si>
    <t>-35.3160760</t>
  </si>
  <si>
    <t xml:space="preserve">MIX ATACAREJO PARQUE PIAUI                                  </t>
  </si>
  <si>
    <t xml:space="preserve">SMART CENTRO CURVELO                                        </t>
  </si>
  <si>
    <t>55.912.913 LETICIA MARA LEAL DA SILVA OL</t>
  </si>
  <si>
    <t xml:space="preserve">leticiaoliveira1945@outlook.com                                                                                                                       </t>
  </si>
  <si>
    <t>11A Avenida Santos Dumont</t>
  </si>
  <si>
    <t>Três Marias</t>
  </si>
  <si>
    <t>39205000</t>
  </si>
  <si>
    <t>-18.2051533</t>
  </si>
  <si>
    <t>-45.2484314</t>
  </si>
  <si>
    <t xml:space="preserve">LOJA CENTRO MALHADOR                                        </t>
  </si>
  <si>
    <t xml:space="preserve">22.782.485 MARIA BATISTA SOARES LIMA    </t>
  </si>
  <si>
    <t>R AUGUSTO MAYNARD</t>
  </si>
  <si>
    <t>Sala 2</t>
  </si>
  <si>
    <t>CENTRO</t>
  </si>
  <si>
    <t>ITABAIANA</t>
  </si>
  <si>
    <t xml:space="preserve">LOJA PESQUEIRA                                              </t>
  </si>
  <si>
    <t>Av Esio Araujo</t>
  </si>
  <si>
    <t>Pesqueira</t>
  </si>
  <si>
    <t>55200000</t>
  </si>
  <si>
    <t>-8.3574471</t>
  </si>
  <si>
    <t>-36.6968238</t>
  </si>
  <si>
    <t xml:space="preserve">MINI FULL SHOPPING BOAVENTURA MALL                          </t>
  </si>
  <si>
    <t>Rua General Sampaio</t>
  </si>
  <si>
    <t>Até 1788/1789</t>
  </si>
  <si>
    <t xml:space="preserve">SMART V3 MINEIRAO ATACAREJO                                 </t>
  </si>
  <si>
    <t xml:space="preserve">uesleipnz@gmail.com                                                                                                                                   </t>
  </si>
  <si>
    <t>AV CORONEL CLEMETINO COELHO</t>
  </si>
  <si>
    <t xml:space="preserve">QUIOSQTOUTI PERFUMES
</t>
  </si>
  <si>
    <t>DISTRITO INDUSTRIAL</t>
  </si>
  <si>
    <t>PETROLINA</t>
  </si>
  <si>
    <t>56308210</t>
  </si>
  <si>
    <t xml:space="preserve">SMART ASSAI SINOP                                           </t>
  </si>
  <si>
    <t xml:space="preserve">C &amp; S COSMETICOS LTDA                   </t>
  </si>
  <si>
    <t xml:space="preserve">crystrovao@gmail.com                                                                                                                                  </t>
  </si>
  <si>
    <t>Rua São Bonifácio</t>
  </si>
  <si>
    <t>Residencial São Francisco</t>
  </si>
  <si>
    <t>Sinop</t>
  </si>
  <si>
    <t>78559186</t>
  </si>
  <si>
    <t>-11.8919580</t>
  </si>
  <si>
    <t>-55.4803873</t>
  </si>
  <si>
    <t xml:space="preserve">R CARVALHO TERESINA                                         </t>
  </si>
  <si>
    <t xml:space="preserve">cristinacarvalhodasilva1987@hotmail.com                                                                                                               </t>
  </si>
  <si>
    <t>AV RAUL LOPES</t>
  </si>
  <si>
    <t xml:space="preserve">LOJA ALT 52 PAVMTOSUPERIOR
</t>
  </si>
  <si>
    <t xml:space="preserve">64.046-902
</t>
  </si>
  <si>
    <t>NOIVOS</t>
  </si>
  <si>
    <t>TERESINA</t>
  </si>
  <si>
    <t xml:space="preserve">FULL TERESINA SHOP                                          </t>
  </si>
  <si>
    <t>SMART VITRINE DA TIJUCA</t>
  </si>
  <si>
    <t>51.031.891 ALICE SANTOS SOUS</t>
  </si>
  <si>
    <t>51.031.891/0001-84</t>
  </si>
  <si>
    <t>Rua conde de bonfim</t>
  </si>
  <si>
    <t>GALERIA VITRINE DA TIJUCA RUA CONDE DE BONFIM</t>
  </si>
  <si>
    <t>TIJUCA</t>
  </si>
  <si>
    <t>rj</t>
  </si>
  <si>
    <t>-7.20085447590131</t>
  </si>
  <si>
    <t>SMART MIX MATEUS UBATUBA</t>
  </si>
  <si>
    <t>Estr. de Ribamar</t>
  </si>
  <si>
    <t>Mix Mateus Atacarejo</t>
  </si>
  <si>
    <t>65110-000</t>
  </si>
  <si>
    <t>Morada Nova II</t>
  </si>
  <si>
    <t>São José de Ribamar</t>
  </si>
  <si>
    <t>-2.551509225270043</t>
  </si>
  <si>
    <t>II FULL RIOMAR FORTALEZA</t>
  </si>
  <si>
    <t>R DESEMBARGADOR LAURO NOGUEIRA</t>
  </si>
  <si>
    <t>Shopping RioMar Fortaleza</t>
  </si>
  <si>
    <t>60.176-065</t>
  </si>
  <si>
    <t>PAPICU</t>
  </si>
  <si>
    <t>FORTALEZA</t>
  </si>
  <si>
    <t>60176-065</t>
  </si>
  <si>
    <t>SMART ATACADÃO VILA GUILHERME</t>
  </si>
  <si>
    <t>Avenida Joaquina Ramalho</t>
  </si>
  <si>
    <t>ATACADÃO VILA GUILHERME</t>
  </si>
  <si>
    <t>02065-000</t>
  </si>
  <si>
    <t>Vila Guilherme</t>
  </si>
  <si>
    <t>SMART V3 - CENTRO BRUSQUE - SC</t>
  </si>
  <si>
    <t>R. Conselheiro Rui Barbosa</t>
  </si>
  <si>
    <t>88350-320</t>
  </si>
  <si>
    <t>Brusque</t>
  </si>
  <si>
    <t>-27.098793989081507</t>
  </si>
  <si>
    <t>SMART SUPERFACIL RODOVIARIA</t>
  </si>
  <si>
    <t>Av. Capitão-Mor Gouveia</t>
  </si>
  <si>
    <t>SUPERFACIL RODOVIARIA</t>
  </si>
  <si>
    <t>59060-400</t>
  </si>
  <si>
    <t>Nossa Sra. de Nazaré</t>
  </si>
  <si>
    <t>-5.819056886276774</t>
  </si>
  <si>
    <t>SMART ATACADÃO PACAEMBU</t>
  </si>
  <si>
    <t>R. James Holland</t>
  </si>
  <si>
    <t>ATACADÃO PACAEMBU</t>
  </si>
  <si>
    <t>01138-000</t>
  </si>
  <si>
    <t>Barra Funda</t>
  </si>
  <si>
    <t>-23.521754862662664</t>
  </si>
  <si>
    <t>HELLEN MACHADO PEREIRA</t>
  </si>
  <si>
    <t>Av. Eng. Armando de Arruda Pereira</t>
  </si>
  <si>
    <t>METRO CONCEIÇÃO</t>
  </si>
  <si>
    <t>04310-040</t>
  </si>
  <si>
    <t>Jabaquara</t>
  </si>
  <si>
    <t>-23.634438484906713</t>
  </si>
  <si>
    <t>G DE A LIMA</t>
  </si>
  <si>
    <t>Av. Dom Lino</t>
  </si>
  <si>
    <t>62900-000</t>
  </si>
  <si>
    <t>RUSSAS</t>
  </si>
  <si>
    <t>-4.785694306906038</t>
  </si>
  <si>
    <t>LUCIENE G DA COSTA LTDA</t>
  </si>
  <si>
    <t>R. Dr. Manoel Lopes de Carvalho</t>
  </si>
  <si>
    <t>ATACADÃO JOÃO PESSOA</t>
  </si>
  <si>
    <t>58075-427</t>
  </si>
  <si>
    <t>-7.170559682985604</t>
  </si>
  <si>
    <t>KAIO COSTA DE SOUSA</t>
  </si>
  <si>
    <t>R Joaquim de Souza Almeida</t>
  </si>
  <si>
    <t>62946-014</t>
  </si>
  <si>
    <t>Dois de Agosto</t>
  </si>
  <si>
    <t>-5.1108246127566215</t>
  </si>
  <si>
    <t>57.007.867 ANDERSON RODRIGUES PEREIRA</t>
  </si>
  <si>
    <t>Av. Waldomiro Lobo</t>
  </si>
  <si>
    <t>GALERIA ONIX MALL</t>
  </si>
  <si>
    <t>31814-600</t>
  </si>
  <si>
    <t>Guarani</t>
  </si>
  <si>
    <t>BH</t>
  </si>
  <si>
    <t>-19.845743732094284</t>
  </si>
  <si>
    <t>MARINGA COMERCIO DE PERFUMES E COSMETICOS LTDA</t>
  </si>
  <si>
    <t>R. Comendador Araújo</t>
  </si>
  <si>
    <t>SHOP CRYSTAL</t>
  </si>
  <si>
    <t>80420-000</t>
  </si>
  <si>
    <t>BATEL</t>
  </si>
  <si>
    <t>-25.43683534990334</t>
  </si>
  <si>
    <t>58.733.047 LEONARDO DE CARVALHO DOS SANTOS</t>
  </si>
  <si>
    <t>AV. DR. PEDRO JORGE</t>
  </si>
  <si>
    <t>26383-060</t>
  </si>
  <si>
    <t xml:space="preserve">CENTRO </t>
  </si>
  <si>
    <t xml:space="preserve"> QUEIMADOS</t>
  </si>
  <si>
    <t>-22.7023484881458</t>
  </si>
  <si>
    <t>SMART V3 - ESTAÇÃO RECIFE - ERIVALDO JANUARIO - PE</t>
  </si>
  <si>
    <t>Estação Recife</t>
  </si>
  <si>
    <t>50020-170</t>
  </si>
  <si>
    <t>São José</t>
  </si>
  <si>
    <t>Pe</t>
  </si>
  <si>
    <t>-8.06901486693656</t>
  </si>
  <si>
    <t>SMART V3 - MIX MATEUS VINHAIS SÃO LUIS - MA</t>
  </si>
  <si>
    <t>Av. Jerônimo de Albuquerque</t>
  </si>
  <si>
    <t>MIX MATEUS VINHAIS SÃO LUIS</t>
  </si>
  <si>
    <t>65070-076</t>
  </si>
  <si>
    <t>Vinhais</t>
  </si>
  <si>
    <t>-2.518072873155937</t>
  </si>
  <si>
    <t>SMART V3 CENTRO PORTO CALVO</t>
  </si>
  <si>
    <t>R. Dr. Antônio Dorta</t>
  </si>
  <si>
    <t>CENTRO PORTO CALVO</t>
  </si>
  <si>
    <t>57900-000</t>
  </si>
  <si>
    <t>PORTO CALVO</t>
  </si>
  <si>
    <t>-9.053912079972237</t>
  </si>
  <si>
    <t>SMART ESTAÇÃO ACESSO NORTE</t>
  </si>
  <si>
    <t>R. dos Rodoviários</t>
  </si>
  <si>
    <t>ESTAÇÃO ACESSO NORTE</t>
  </si>
  <si>
    <t>41110-435</t>
  </si>
  <si>
    <t>Pernambués</t>
  </si>
  <si>
    <t>-12.968768524505025</t>
  </si>
  <si>
    <t>LOJA PIPA</t>
  </si>
  <si>
    <t>Av. Baía dos Golfinhos</t>
  </si>
  <si>
    <t>59178-000</t>
  </si>
  <si>
    <t>Tibau do Sul</t>
  </si>
  <si>
    <t>-6.252001326892586</t>
  </si>
  <si>
    <t>VICTOR HUGO GOMES PEDROSO LTDA</t>
  </si>
  <si>
    <t>Av. Dão Silveira</t>
  </si>
  <si>
    <t>ATACADÃO NATAL SUL</t>
  </si>
  <si>
    <t>59066-180</t>
  </si>
  <si>
    <t>Pitimbú</t>
  </si>
  <si>
    <t>-5.8656603615815905</t>
  </si>
  <si>
    <t>SMART MIX MATEUS CONCEIÇÃO DO COITE</t>
  </si>
  <si>
    <t>Avenida Oldack Amâncio Araújo</t>
  </si>
  <si>
    <t>MIX MATEUS CONCEIÇÃO DO COITE</t>
  </si>
  <si>
    <t>48730-000</t>
  </si>
  <si>
    <t>Olhos D'agua</t>
  </si>
  <si>
    <t>Conceição do Coité</t>
  </si>
  <si>
    <t>-11.556474471738966</t>
  </si>
  <si>
    <t>SMART V3 SUPER ATACADO DO POVO UBATÃ BA</t>
  </si>
  <si>
    <t>R. Durval César Oliveira</t>
  </si>
  <si>
    <t>Super Atacadão do Povo</t>
  </si>
  <si>
    <t>45550-000</t>
  </si>
  <si>
    <t>Ubatã</t>
  </si>
  <si>
    <t>-14.21709958253336</t>
  </si>
  <si>
    <t>SMART V3 DIAMOND CENTER</t>
  </si>
  <si>
    <t>AV. UNIVERSITÁRIA</t>
  </si>
  <si>
    <t>DIAMOND CENTER</t>
  </si>
  <si>
    <t>64049-494</t>
  </si>
  <si>
    <t>FATIMA</t>
  </si>
  <si>
    <t>-5.06306163364824</t>
  </si>
  <si>
    <t>FULL SHOP PARKCITY SUMARE</t>
  </si>
  <si>
    <t>Av. Rebouças</t>
  </si>
  <si>
    <t>Shopping ParkCity Sumaré</t>
  </si>
  <si>
    <t>13171-065</t>
  </si>
  <si>
    <t>Jardim Paulista</t>
  </si>
  <si>
    <t>Sumaré</t>
  </si>
  <si>
    <t>-22.83036172486922</t>
  </si>
  <si>
    <t>FULL SHOP LAJEADO</t>
  </si>
  <si>
    <t>BR-386</t>
  </si>
  <si>
    <t>Km 346</t>
  </si>
  <si>
    <t>Shopping Lajeado</t>
  </si>
  <si>
    <t>95900-000</t>
  </si>
  <si>
    <t>Lajeado</t>
  </si>
  <si>
    <t>-29.449352223997188</t>
  </si>
  <si>
    <t>SMART MATILDE SHOPPING</t>
  </si>
  <si>
    <t>Av. Min. Ary Franco</t>
  </si>
  <si>
    <t>Matilde Shopping</t>
  </si>
  <si>
    <t>21862-005</t>
  </si>
  <si>
    <t>Rio de Janeiro</t>
  </si>
  <si>
    <t>-22.873941883282896</t>
  </si>
  <si>
    <t>SMART ATACADÃO CAJAZEIRAS</t>
  </si>
  <si>
    <t>Estr. do Coqueiro Grande</t>
  </si>
  <si>
    <t>Atacadão</t>
  </si>
  <si>
    <t>41342-846</t>
  </si>
  <si>
    <t>Cajazeiras</t>
  </si>
  <si>
    <t>-12.904109740126804</t>
  </si>
  <si>
    <t>SMART V3 CENTRO BURITI DOS MONTES</t>
  </si>
  <si>
    <t>AV JOSE SOARES</t>
  </si>
  <si>
    <t>64345-000</t>
  </si>
  <si>
    <t>Buriti dos Montes</t>
  </si>
  <si>
    <t>-5.313676667260354</t>
  </si>
  <si>
    <t>SMART HIPER MOINHO OLIVEIRA</t>
  </si>
  <si>
    <t>RUA DEOCLECIANO PEREIRA</t>
  </si>
  <si>
    <t>HIPER MOINHO OLIVEIRA</t>
  </si>
  <si>
    <t>55865-000</t>
  </si>
  <si>
    <t>Alto das Neves</t>
  </si>
  <si>
    <t>Macaparana</t>
  </si>
  <si>
    <t>-7.552288463528406</t>
  </si>
  <si>
    <t>SMART FARMACIA DO VALE ARAÇUAÍ</t>
  </si>
  <si>
    <t>R FREI ROGATO</t>
  </si>
  <si>
    <t xml:space="preserve">Centro </t>
  </si>
  <si>
    <t>39600-000</t>
  </si>
  <si>
    <t>ALTO MERCADO</t>
  </si>
  <si>
    <t>ARACUAI</t>
  </si>
  <si>
    <t>-16.84951103804452</t>
  </si>
  <si>
    <t>SMART CENTRO CAJATI</t>
  </si>
  <si>
    <t>Av Luiz de Lima</t>
  </si>
  <si>
    <t>LOJA NO CENTRO</t>
  </si>
  <si>
    <t>11950-000</t>
  </si>
  <si>
    <t>Jardim Isabel</t>
  </si>
  <si>
    <t>Cajati</t>
  </si>
  <si>
    <t>-24.729814663727343</t>
  </si>
  <si>
    <t>SMART CALCADA DA FAMA TERESOPOLIS</t>
  </si>
  <si>
    <t>R. Pref. Sebastião Teixeira</t>
  </si>
  <si>
    <t>DonnaDellas moda fitness, loja 125</t>
  </si>
  <si>
    <t>25953-200 </t>
  </si>
  <si>
    <t>Várzea</t>
  </si>
  <si>
    <t>Teresópolis</t>
  </si>
  <si>
    <t>-22.413044787756814</t>
  </si>
  <si>
    <t>LOJA SHOP INTERLAGOS</t>
  </si>
  <si>
    <t>Av. Interlagos</t>
  </si>
  <si>
    <t>SHOPPING INTERLAGOS</t>
  </si>
  <si>
    <t>04661-200</t>
  </si>
  <si>
    <t>Interlagos</t>
  </si>
  <si>
    <t>-23.674713104618263</t>
  </si>
  <si>
    <t>MINI FULL SHOP PARK LAGOS</t>
  </si>
  <si>
    <t>Av. Henrique Terra</t>
  </si>
  <si>
    <t>Shopping Park Lagos</t>
  </si>
  <si>
    <t>28911-320</t>
  </si>
  <si>
    <t>Palmeiras</t>
  </si>
  <si>
    <t>Cabo Frio</t>
  </si>
  <si>
    <t>-22.873859559521367</t>
  </si>
  <si>
    <t>SMART V3 CENTRO IATI</t>
  </si>
  <si>
    <t>R JOAO DE BARROS SILVA</t>
  </si>
  <si>
    <t>55345-000</t>
  </si>
  <si>
    <t>IatI</t>
  </si>
  <si>
    <t>-9.040398303399797</t>
  </si>
  <si>
    <t>SMART CENTRO MARACÁS</t>
  </si>
  <si>
    <t>Av. Brasília</t>
  </si>
  <si>
    <t>45360-000</t>
  </si>
  <si>
    <t>MARICÁS</t>
  </si>
  <si>
    <t>-13.440092537561206</t>
  </si>
  <si>
    <t>SMART ATACADÃO FRAGATA</t>
  </si>
  <si>
    <t>AV PRESIDENTE JOAO BELCHIOR MARQUES GOULART</t>
  </si>
  <si>
    <t xml:space="preserve">sala 01 </t>
  </si>
  <si>
    <t>96040-000</t>
  </si>
  <si>
    <t>FRAGATA</t>
  </si>
  <si>
    <t>-31.740843074113858</t>
  </si>
  <si>
    <t>SMART V3 ITAPECERICA SHOPPING</t>
  </si>
  <si>
    <t>AV. QUINZE DE NOVEMBRO</t>
  </si>
  <si>
    <t>ITAPECERICA SHOPPING</t>
  </si>
  <si>
    <t>06850-100</t>
  </si>
  <si>
    <t>ITAPECERICA DA SERRA</t>
  </si>
  <si>
    <t>-23.715498118924497</t>
  </si>
  <si>
    <t>SMART V3 ATACADÃO AEROPORTO</t>
  </si>
  <si>
    <t>Av. Durval de Góes Monteiro</t>
  </si>
  <si>
    <t>Atacadão Aeroporto</t>
  </si>
  <si>
    <t>57083-410</t>
  </si>
  <si>
    <t>Tabuleiro do Martins</t>
  </si>
  <si>
    <t>-9.566420053436826</t>
  </si>
  <si>
    <t>SMART V3 ATACADÃO MACEIÓ</t>
  </si>
  <si>
    <t>Av. Josepha Hollanda de Mello</t>
  </si>
  <si>
    <t>57038-500</t>
  </si>
  <si>
    <t>Jacarecica</t>
  </si>
  <si>
    <t>-9.623451401185633</t>
  </si>
  <si>
    <t>SMART V3 ATACADÃO ARAPIRACA</t>
  </si>
  <si>
    <t>AL-220</t>
  </si>
  <si>
    <t>57314-190</t>
  </si>
  <si>
    <t>Itapoá</t>
  </si>
  <si>
    <t>-9.74720277380007</t>
  </si>
  <si>
    <t>SMART CENTRO BOCA DA MATA</t>
  </si>
  <si>
    <t>PRAÇA ONZE DE NOVEMBRO</t>
  </si>
  <si>
    <t>57680-000</t>
  </si>
  <si>
    <t>BOCA DA MATA</t>
  </si>
  <si>
    <t>-9.64173815859729</t>
  </si>
  <si>
    <t>SMART SUPERMERCADO LIMA ROSÁRIO </t>
  </si>
  <si>
    <t>Av. Paracatu</t>
  </si>
  <si>
    <t>Supermercado Lima Rosário</t>
  </si>
  <si>
    <t>38701-044</t>
  </si>
  <si>
    <t>Rosário</t>
  </si>
  <si>
    <t>Patos de Minas</t>
  </si>
  <si>
    <t>-18.578265928227758</t>
  </si>
  <si>
    <t>SMART V3 ATACADÃO PELOTAS CENTRO </t>
  </si>
  <si>
    <t>Av. Fernando Osório</t>
  </si>
  <si>
    <t>96055-000 </t>
  </si>
  <si>
    <t>-31.730762097848555</t>
  </si>
  <si>
    <t>SMART V3 MAX ATACADÃO CUSTÓDIA</t>
  </si>
  <si>
    <t>AV. INOCENCIO LIMA</t>
  </si>
  <si>
    <t>56640-000</t>
  </si>
  <si>
    <t>CUSTODIA</t>
  </si>
  <si>
    <t>-8.089181093171423</t>
  </si>
  <si>
    <t>SMART V3 CENTRO MAGALHÃES DE ALMEIDA </t>
  </si>
  <si>
    <t>AV. BENEDITO ROMÃO DE SOUSA</t>
  </si>
  <si>
    <t>65560-000</t>
  </si>
  <si>
    <t>MAGALHÃES DE ALMEIDA</t>
  </si>
  <si>
    <t>-3.3975902267337963</t>
  </si>
  <si>
    <t>SMART CARRREFOUR RODOVIA</t>
  </si>
  <si>
    <t>Av. Marginal Tancredo Neves</t>
  </si>
  <si>
    <t>Carrefour Hipermercado</t>
  </si>
  <si>
    <t>15076-630</t>
  </si>
  <si>
    <t>Parque Industrial</t>
  </si>
  <si>
    <t>SAO JOSE DO RIO PRETO</t>
  </si>
  <si>
    <t>-20.832124006266078</t>
  </si>
  <si>
    <t>SMART MATEUS SUPERMERCADOS SANTA INÊS</t>
  </si>
  <si>
    <t>Av. Castelo Branco</t>
  </si>
  <si>
    <t>Mateus Supermercados</t>
  </si>
  <si>
    <t>65300-000</t>
  </si>
  <si>
    <t>Nova Santa Inês</t>
  </si>
  <si>
    <t>Santa Inês</t>
  </si>
  <si>
    <t>-3.6649946756279568</t>
  </si>
  <si>
    <t>SMART ATACADÃO MARABA</t>
  </si>
  <si>
    <t>BR-230</t>
  </si>
  <si>
    <t>Atacadão - Marabá</t>
  </si>
  <si>
    <t>68507-765</t>
  </si>
  <si>
    <t>-5.356725270855158</t>
  </si>
  <si>
    <t>SMART SUPERMERCADO MORANGUINHO CONCEITO</t>
  </si>
  <si>
    <t>Avenida Pedro Philomeno</t>
  </si>
  <si>
    <t>Supermercado Moranguinho Conceito</t>
  </si>
  <si>
    <t>62870-000</t>
  </si>
  <si>
    <t>Pacajus</t>
  </si>
  <si>
    <t>-4.173049094234915</t>
  </si>
  <si>
    <t>FULL SHOP PARK SUL</t>
  </si>
  <si>
    <t>Rod. dos Metalúrgicos</t>
  </si>
  <si>
    <t>Shopping Park Sul</t>
  </si>
  <si>
    <t>27253-005</t>
  </si>
  <si>
    <t>São Geraldo</t>
  </si>
  <si>
    <t>Volta Redonda</t>
  </si>
  <si>
    <t>-22.52354864813923</t>
  </si>
  <si>
    <t>TOUTI FULL MAX ATACADISTA ELDORADO SÃO JOSE DO RIO PRETO</t>
  </si>
  <si>
    <t>Av. Sebastião Gonçalves de Souza</t>
  </si>
  <si>
    <t>MAX ATACADISTA ELDORADO</t>
  </si>
  <si>
    <t>15040-219</t>
  </si>
  <si>
    <t>São José do Rio Preto</t>
  </si>
  <si>
    <t>-20.78966812024567</t>
  </si>
  <si>
    <t>SMART FARMACIA CENTRAL</t>
  </si>
  <si>
    <t>R. Otaviano Leandro de Moraes</t>
  </si>
  <si>
    <t>Farmácia Central</t>
  </si>
  <si>
    <t>48602-590</t>
  </si>
  <si>
    <t>Vila Poty</t>
  </si>
  <si>
    <t>-9.400784421183193</t>
  </si>
  <si>
    <t>STRONG - OUTLET FERNÃO DIAS</t>
  </si>
  <si>
    <t>R.LUIZ ONOFRE DE AMORIM</t>
  </si>
  <si>
    <t>12940-500</t>
  </si>
  <si>
    <t>PARQUE FERNÃO DIAS</t>
  </si>
  <si>
    <t>Atibaia</t>
  </si>
  <si>
    <t>-23.16560549754316</t>
  </si>
  <si>
    <t>SMART V3 SHOPPING BUSCA VIDA</t>
  </si>
  <si>
    <t>BA-099, Km 10</t>
  </si>
  <si>
    <t>SHOPPING BUSCA VIDA</t>
  </si>
  <si>
    <t>42840-000</t>
  </si>
  <si>
    <t>Vila de Abrantes</t>
  </si>
  <si>
    <t>-12.842571745671126</t>
  </si>
  <si>
    <t>SMART ASSAI ATACADISTA AEROPORTO ARACAJU</t>
  </si>
  <si>
    <t>Av. Melício Machado</t>
  </si>
  <si>
    <t>Assaí Atacadista</t>
  </si>
  <si>
    <t>49038-443</t>
  </si>
  <si>
    <t>Aeroporto</t>
  </si>
  <si>
    <t>-10.989654221258972</t>
  </si>
  <si>
    <t>ATACADÃO SERRINHA FORTALEZA</t>
  </si>
  <si>
    <t>SMART EL CAMINO SUPERMERCADO</t>
  </si>
  <si>
    <t>R. FIDÉLIS RODRIGUES</t>
  </si>
  <si>
    <t>65208-000</t>
  </si>
  <si>
    <t>SANTA HELENA</t>
  </si>
  <si>
    <t>-2.239046656452079</t>
  </si>
  <si>
    <t>SMART V3 MIX MATEUS JANGA</t>
  </si>
  <si>
    <t>AV. DR. CLAÚDIO JOSÉ GUEIROS LEITE</t>
  </si>
  <si>
    <t>Mix Mateus Janga</t>
  </si>
  <si>
    <t>53437-000</t>
  </si>
  <si>
    <t>Janga</t>
  </si>
  <si>
    <t>-7.934701465970984</t>
  </si>
  <si>
    <t>ATACADÃO CAUCAIA</t>
  </si>
  <si>
    <t>CE-085 - Via Estruturante</t>
  </si>
  <si>
    <t>61602-815</t>
  </si>
  <si>
    <t xml:space="preserve">Caucaia </t>
  </si>
  <si>
    <t>-3.7245934839001653</t>
  </si>
  <si>
    <t>SMART SUPERMERCADO COELHO CANTO DO BURITI</t>
  </si>
  <si>
    <t>R. Manoel Victor de Sousa</t>
  </si>
  <si>
    <t>Supermercado Coelho</t>
  </si>
  <si>
    <t>64890-000</t>
  </si>
  <si>
    <t>Bairro do Aeroporto</t>
  </si>
  <si>
    <t>Canto do Buriti</t>
  </si>
  <si>
    <t>-8.111547427429569</t>
  </si>
  <si>
    <t>SMART CENTRO GOIANINHA</t>
  </si>
  <si>
    <t>R. Dom Nivaldo Monte</t>
  </si>
  <si>
    <t>59173-000</t>
  </si>
  <si>
    <t>Goianinha</t>
  </si>
  <si>
    <t>-6.267669129014543</t>
  </si>
  <si>
    <t>LOJA CENTRO ARAXA</t>
  </si>
  <si>
    <t>R. Dom José Gáspar</t>
  </si>
  <si>
    <t>38183-188</t>
  </si>
  <si>
    <t>Araxa</t>
  </si>
  <si>
    <t>-19.593448458949698</t>
  </si>
  <si>
    <t>SMART CENTRO AVARÉ</t>
  </si>
  <si>
    <t>RUA SÃO PAULO</t>
  </si>
  <si>
    <t>18700-070</t>
  </si>
  <si>
    <t>Avaré</t>
  </si>
  <si>
    <t>-23.10033370476782</t>
  </si>
  <si>
    <t>TOUTI FULL IGUATEMI SÃO CARLOS</t>
  </si>
  <si>
    <t>Passeio dos Flamboyants</t>
  </si>
  <si>
    <t>Iguatemi São Carlos</t>
  </si>
  <si>
    <t>13561-352</t>
  </si>
  <si>
    <t>Parque Faber Castell II</t>
  </si>
  <si>
    <t>São Carlos</t>
  </si>
  <si>
    <t>-22.017465394385404</t>
  </si>
  <si>
    <t>LOJA CENTRO LONDRINA</t>
  </si>
  <si>
    <t>Av. Paraná</t>
  </si>
  <si>
    <t>86010-390</t>
  </si>
  <si>
    <t>Londrina</t>
  </si>
  <si>
    <t>-23.310999860712506</t>
  </si>
  <si>
    <t>SMART ECONOMART JEQUIE</t>
  </si>
  <si>
    <t>Av. Lomanto Jr</t>
  </si>
  <si>
    <t xml:space="preserve"> Economart Jequié</t>
  </si>
  <si>
    <t>45200-565</t>
  </si>
  <si>
    <t>Joaquim Romão</t>
  </si>
  <si>
    <t>-13.862395470194217</t>
  </si>
  <si>
    <t>FULL BOULEVARD SHOP LONDRINA</t>
  </si>
  <si>
    <t>Av. Theodoro Victorelli</t>
  </si>
  <si>
    <t>Boulevard Shopping Londrina</t>
  </si>
  <si>
    <t>86027-750</t>
  </si>
  <si>
    <t>Carlota</t>
  </si>
  <si>
    <t>-23.311861849191732</t>
  </si>
  <si>
    <t>Brisamar Shopping</t>
  </si>
  <si>
    <t>R. Frei Gaspar</t>
  </si>
  <si>
    <t>11310-060</t>
  </si>
  <si>
    <t>-23.967145759632757</t>
  </si>
  <si>
    <t>LOJA CENTRO ASSU</t>
  </si>
  <si>
    <t>Avenida senador João câmara</t>
  </si>
  <si>
    <t>59650-000</t>
  </si>
  <si>
    <t>Assu</t>
  </si>
  <si>
    <t>--5.57509057998044</t>
  </si>
  <si>
    <t>ATACADÃO EUSEBIO</t>
  </si>
  <si>
    <t>Av. Eusébio de Queiroz</t>
  </si>
  <si>
    <t>Atacadão Eusébio</t>
  </si>
  <si>
    <t>61771-770</t>
  </si>
  <si>
    <t>Coaçu</t>
  </si>
  <si>
    <t>-3.85698888704576</t>
  </si>
  <si>
    <t>SMART ESTAÇÃO DA LAPA</t>
  </si>
  <si>
    <t>Estação da Lapa</t>
  </si>
  <si>
    <t>40301-155</t>
  </si>
  <si>
    <t>Nazaré</t>
  </si>
  <si>
    <t>-12.982789596496456</t>
  </si>
  <si>
    <t>SMART MIX MATEUS ILHÉUS</t>
  </si>
  <si>
    <t>AV PROFESSOR MILTON SANTOS</t>
  </si>
  <si>
    <t>45651-135</t>
  </si>
  <si>
    <t>Tapera</t>
  </si>
  <si>
    <t>Ilheus</t>
  </si>
  <si>
    <t>-14.786853497593627</t>
  </si>
  <si>
    <t>SMART SHOPPING SUL</t>
  </si>
  <si>
    <t>Av. Francisco Lacerda de Aguiar</t>
  </si>
  <si>
    <t>Shopping Sul</t>
  </si>
  <si>
    <t>29304-048</t>
  </si>
  <si>
    <t>Paraíso</t>
  </si>
  <si>
    <t>Cachoeiro de Itapemirim</t>
  </si>
  <si>
    <t>-20.858148155029593</t>
  </si>
  <si>
    <t>LOJA CENTRO ANDORINHA</t>
  </si>
  <si>
    <t>Praça Rubem Alves</t>
  </si>
  <si>
    <t>48990-000</t>
  </si>
  <si>
    <t>Andorinha</t>
  </si>
  <si>
    <t>-10.34459576816779</t>
  </si>
  <si>
    <t>SMART ASSAI ATACADISTA CABO FRIO</t>
  </si>
  <si>
    <t>Av. América Central</t>
  </si>
  <si>
    <t>28909-582</t>
  </si>
  <si>
    <t>-22.887545939134924</t>
  </si>
  <si>
    <t xml:space="preserve">SMART V3 SEMPRE VALE </t>
  </si>
  <si>
    <t>R. HENRIQUE CABRAL DE VASCONCELOS</t>
  </si>
  <si>
    <t>13876-100</t>
  </si>
  <si>
    <t>VILA TEN. VASCONCELOS</t>
  </si>
  <si>
    <t>SÃO JOÃO DA BOA VISTA</t>
  </si>
  <si>
    <t>-21.993947235827346</t>
  </si>
  <si>
    <t>SMART ATACADÃO JUZEIRO</t>
  </si>
  <si>
    <t>BR-407, KM 6</t>
  </si>
  <si>
    <t xml:space="preserve">48900-335 </t>
  </si>
  <si>
    <t>Distrito Industrial Do São Francisco</t>
  </si>
  <si>
    <t>-9.451490724244831</t>
  </si>
  <si>
    <t>SMART MIX MATEUS MARITUBA NOVO HORIZONTE</t>
  </si>
  <si>
    <t>BR-316, KM 14</t>
  </si>
  <si>
    <t>Mix Mateus Marituba Novo Horizonte</t>
  </si>
  <si>
    <t>67208-210</t>
  </si>
  <si>
    <t>Bairro Novo Horizonte</t>
  </si>
  <si>
    <t xml:space="preserve">Marituba </t>
  </si>
  <si>
    <t>-1.365537195466207</t>
  </si>
  <si>
    <t>SMART SUPERMERCADO PERIM</t>
  </si>
  <si>
    <t>AVENIDA SANTA LEOPOLDINA</t>
  </si>
  <si>
    <t>29102-041</t>
  </si>
  <si>
    <t>PRAIA DE ITAPERICA</t>
  </si>
  <si>
    <t>VILHA VELHA</t>
  </si>
  <si>
    <t>-20.35494954001341</t>
  </si>
  <si>
    <t>SMART CENTRO FARIAS LIMA</t>
  </si>
  <si>
    <t>AVENIDA BRIGADEIRO FARIA LIMA</t>
  </si>
  <si>
    <t>09720-010</t>
  </si>
  <si>
    <t>SÃO BERNARDO DO CAMPO</t>
  </si>
  <si>
    <t>-23.711108378697237</t>
  </si>
  <si>
    <t>TOUTI FULL APARECIDA SHOPPING</t>
  </si>
  <si>
    <t>AV INDEPENDÊNCIA</t>
  </si>
  <si>
    <t>Aparecida Shopping</t>
  </si>
  <si>
    <t>74973-340</t>
  </si>
  <si>
    <t>APARECIDA DE GOIANIA</t>
  </si>
  <si>
    <t>-16.823167829076475</t>
  </si>
  <si>
    <t>SMART CAMPEIRO SUPERMERCADO ALTAMIRA</t>
  </si>
  <si>
    <t>Rod. Transamazônica</t>
  </si>
  <si>
    <t>Campeiro Supermercardo</t>
  </si>
  <si>
    <t>68372-586</t>
  </si>
  <si>
    <t>Mutirão</t>
  </si>
  <si>
    <t>-3.213285196761889</t>
  </si>
  <si>
    <t>SMART V3 GALERIA D'CASTRO</t>
  </si>
  <si>
    <t>AV. AREIA BRANCA</t>
  </si>
  <si>
    <t>23550-740</t>
  </si>
  <si>
    <t>SANTA CRUZ</t>
  </si>
  <si>
    <t>-22.937966157325167</t>
  </si>
  <si>
    <t>SMART CENTRO ACARAÚ</t>
  </si>
  <si>
    <t>AV. JOSÉ GIFFONI DA SILVEIRA</t>
  </si>
  <si>
    <t>62580-000</t>
  </si>
  <si>
    <t>RONDAGEM</t>
  </si>
  <si>
    <t>Aracaú</t>
  </si>
  <si>
    <t>-2.8914493515546633</t>
  </si>
  <si>
    <t>TOUTI FULL SHOPPING PASSEIO DAS ÁGUAS</t>
  </si>
  <si>
    <t>AV. PERIMETRAL NORTE</t>
  </si>
  <si>
    <t>Shopping Passeio das Águas</t>
  </si>
  <si>
    <t>74593-841</t>
  </si>
  <si>
    <t>FAZ CRIMEIA CAVEIRAS</t>
  </si>
  <si>
    <t xml:space="preserve">GOIANIA </t>
  </si>
  <si>
    <t>-16.629941623184124</t>
  </si>
  <si>
    <t>SMART ATACADAO ARAGUAINA</t>
  </si>
  <si>
    <t>Av. Amazílio Correa Camargo Neto</t>
  </si>
  <si>
    <t>77808-650</t>
  </si>
  <si>
    <t>Res. Camargo</t>
  </si>
  <si>
    <t>-7.203847927933449</t>
  </si>
  <si>
    <t>SMART V3 SUPERMARKET MACAÉ</t>
  </si>
  <si>
    <t>AV. ALUIZIO DA SILVA GOMES</t>
  </si>
  <si>
    <t>27930-560</t>
  </si>
  <si>
    <t>GLÓRIA</t>
  </si>
  <si>
    <t>-22.39043043958107</t>
  </si>
  <si>
    <t>SMART ATACADÃO IGARASSU</t>
  </si>
  <si>
    <t>Avenida Barão de Vera Cruz</t>
  </si>
  <si>
    <t>Atacadão Igarassu</t>
  </si>
  <si>
    <t>53625-815</t>
  </si>
  <si>
    <t>Inhama</t>
  </si>
  <si>
    <t>-7.871176716389816</t>
  </si>
  <si>
    <t>SMART ATACADÃO NATAL NORTE</t>
  </si>
  <si>
    <t>Av. Dr. João Medeiros Filho</t>
  </si>
  <si>
    <t>Atacadão Natal</t>
  </si>
  <si>
    <t>59104-095</t>
  </si>
  <si>
    <t>-5.769192070734425</t>
  </si>
  <si>
    <t>SMART CENTRO PIRAPORA</t>
  </si>
  <si>
    <t>Av. Pio XII</t>
  </si>
  <si>
    <t>39270-000</t>
  </si>
  <si>
    <t>Santos Dumont</t>
  </si>
  <si>
    <t>Pirapora</t>
  </si>
  <si>
    <t>-17.342033683537398</t>
  </si>
  <si>
    <t>LOJA CENTRO ITUVERAVA</t>
  </si>
  <si>
    <t>Av. Dr. José Aníbal Soares de Oliveira</t>
  </si>
  <si>
    <t>14500-000</t>
  </si>
  <si>
    <t>Vila Sao Francisco</t>
  </si>
  <si>
    <t>Ituverava</t>
  </si>
  <si>
    <t>-20.33670752107572</t>
  </si>
  <si>
    <t>SMART ABC ATACADO E VAREJO GETULIO VARGAS</t>
  </si>
  <si>
    <t>Av. Getúlio Vargas</t>
  </si>
  <si>
    <t xml:space="preserve"> ABC Atacado e Varejo</t>
  </si>
  <si>
    <t>38412-316</t>
  </si>
  <si>
    <t>Jardim das Palmeiras</t>
  </si>
  <si>
    <t>-18.941405282235657</t>
  </si>
  <si>
    <t>SMART V3 ASSAÍ ATACADISTA PALMAS</t>
  </si>
  <si>
    <t>Sul Avenida Ns 2</t>
  </si>
  <si>
    <t>77021-608</t>
  </si>
  <si>
    <t>PLANO DIRETOR SUL</t>
  </si>
  <si>
    <t>PALMAS</t>
  </si>
  <si>
    <t>-10.209934202470174</t>
  </si>
  <si>
    <t>TOUTI FULL SHOP TOTAL</t>
  </si>
  <si>
    <t>Av. Cristóvão Colombo</t>
  </si>
  <si>
    <t>Shopping TOTAL</t>
  </si>
  <si>
    <t>90035-153</t>
  </si>
  <si>
    <t>Independência</t>
  </si>
  <si>
    <t>Porto Alegre</t>
  </si>
  <si>
    <t>-30.026614474932494</t>
  </si>
  <si>
    <t>TOUTI FULL SHOP SAO JOSE</t>
  </si>
  <si>
    <t>Rua Dona Izabel A Redentora</t>
  </si>
  <si>
    <t>Shopping São José</t>
  </si>
  <si>
    <t>83005-010</t>
  </si>
  <si>
    <t>São José dos Pinhais</t>
  </si>
  <si>
    <t>-25.538647857994555</t>
  </si>
  <si>
    <t>SMART V3 ECONOMART BARREIRAS</t>
  </si>
  <si>
    <t>AV. AYLON MACEDO</t>
  </si>
  <si>
    <t>47810-035</t>
  </si>
  <si>
    <t>MORADA NOBRE</t>
  </si>
  <si>
    <t>BARREIRAS</t>
  </si>
  <si>
    <t>-12.144707488099774</t>
  </si>
  <si>
    <t>LOJA CENTRO BANANEIRAS</t>
  </si>
  <si>
    <t>Rua Cel. Antônio Pessoa</t>
  </si>
  <si>
    <t>58220-000</t>
  </si>
  <si>
    <t>Bananeiras</t>
  </si>
  <si>
    <t>-6.754091821440158</t>
  </si>
  <si>
    <t>LOJA CENTRO 2 PATOS DE MINAS</t>
  </si>
  <si>
    <t>Av. Brasil</t>
  </si>
  <si>
    <t>38700-188</t>
  </si>
  <si>
    <t>-18.596588082511765</t>
  </si>
  <si>
    <t>SMART ATACADÃO AV RECIFE</t>
  </si>
  <si>
    <t>Av. Recife</t>
  </si>
  <si>
    <t>Atacadão - Recife</t>
  </si>
  <si>
    <t>50781-000</t>
  </si>
  <si>
    <t>Areias</t>
  </si>
  <si>
    <t>-8.08923617906958</t>
  </si>
  <si>
    <t>MIX MATEUS INDRUSTRIAL ARACAJU</t>
  </si>
  <si>
    <t>Av. João Rodrigues</t>
  </si>
  <si>
    <t>Mix Mateus Industrial - Aracaju</t>
  </si>
  <si>
    <t>49065-450</t>
  </si>
  <si>
    <t>-10.895878883002698</t>
  </si>
  <si>
    <t>TOUTI FULL SHOPPING PARANGABA</t>
  </si>
  <si>
    <t>RUA GERMANO FRANCK</t>
  </si>
  <si>
    <t>60740-020</t>
  </si>
  <si>
    <t>PARANGABA</t>
  </si>
  <si>
    <t>-3.775554401748937</t>
  </si>
  <si>
    <t>TOUTI FULL SHOPPING JÓQUEI</t>
  </si>
  <si>
    <t>AV. LINEU MACHADO</t>
  </si>
  <si>
    <t>60520-102</t>
  </si>
  <si>
    <t>JÓGUEI CLUBE</t>
  </si>
  <si>
    <t>-3.7647019791571883</t>
  </si>
  <si>
    <t>TOUTI FULL SHOPPING MARACANAÚ</t>
  </si>
  <si>
    <t>AV. CARLOS JEREISSATI</t>
  </si>
  <si>
    <t>61900-010</t>
  </si>
  <si>
    <t>MARACANAÚ</t>
  </si>
  <si>
    <t>-3.8806014733082255</t>
  </si>
  <si>
    <t>TOUTI FULL NORTH SHOPPING FORTALEZA NORTÃO</t>
  </si>
  <si>
    <t>AV. BEZERRA DE MENEZES</t>
  </si>
  <si>
    <t>60325-902</t>
  </si>
  <si>
    <t>PRE. KENNEDY</t>
  </si>
  <si>
    <t>-3.7350257780965777</t>
  </si>
  <si>
    <t>TOUTI FULL NORTH SHOPPING FORTALEZA NORTÃO II</t>
  </si>
  <si>
    <t>QUIOSQUE Q1 18</t>
  </si>
  <si>
    <t>FULL TOUTI SHOP JARDIM GUADALUPE</t>
  </si>
  <si>
    <t>Shopping Jardim Guadalupe</t>
  </si>
  <si>
    <t>21670-000</t>
  </si>
  <si>
    <t>Guadalupe</t>
  </si>
  <si>
    <t>-22.84102886331859</t>
  </si>
  <si>
    <t>TOUTI FULL RODOVIARIA DO RIO</t>
  </si>
  <si>
    <t>Av. Francisco Bicalho</t>
  </si>
  <si>
    <t>Rodoviária do Rio</t>
  </si>
  <si>
    <t>20220-310</t>
  </si>
  <si>
    <t>-22.899118746828535</t>
  </si>
  <si>
    <t xml:space="preserve">FORTALEZA </t>
  </si>
  <si>
    <t>-3.77550087399448</t>
  </si>
  <si>
    <t>SMART MIX MATEUS PATOS</t>
  </si>
  <si>
    <t>R. Lima Campos</t>
  </si>
  <si>
    <t>58706-310</t>
  </si>
  <si>
    <t>São Sebastiao</t>
  </si>
  <si>
    <t xml:space="preserve">Patos </t>
  </si>
  <si>
    <t>-7.019920241391363</t>
  </si>
  <si>
    <t>LOJA CENTRO PRESIDENTE DUTRA</t>
  </si>
  <si>
    <t>Rua coronel Sebastião Gomes</t>
  </si>
  <si>
    <t>65760-000</t>
  </si>
  <si>
    <t>PRESIDENTE DUTRA</t>
  </si>
  <si>
    <t>-5.2828717616462395</t>
  </si>
  <si>
    <t>LOJA FRUTAL</t>
  </si>
  <si>
    <t>R. Prudente de Morais</t>
  </si>
  <si>
    <t>38200-000</t>
  </si>
  <si>
    <t>Frutal</t>
  </si>
  <si>
    <t>-20.026278661508062</t>
  </si>
  <si>
    <t>MINI FULL ESTAÇÃO BRAS</t>
  </si>
  <si>
    <t>R. Domingos Paiva</t>
  </si>
  <si>
    <t>Estação bras</t>
  </si>
  <si>
    <t>03043-070</t>
  </si>
  <si>
    <t>Brás</t>
  </si>
  <si>
    <t>-23.54508560757732</t>
  </si>
  <si>
    <t>SMART EL CAMINO BARREIRINHAS</t>
  </si>
  <si>
    <t>R. Domingos Carvalho</t>
  </si>
  <si>
    <t>el Camiño SuperMercado</t>
  </si>
  <si>
    <t>65590-000</t>
  </si>
  <si>
    <t xml:space="preserve">Barreirinhas </t>
  </si>
  <si>
    <t>-2.7507719850115024</t>
  </si>
  <si>
    <t>SMART BH SUPERMERCADO UNAI</t>
  </si>
  <si>
    <t>R. Rosita Martins Ferreira</t>
  </si>
  <si>
    <t>BH Atacado e Varejo</t>
  </si>
  <si>
    <t>38610-000</t>
  </si>
  <si>
    <t>Barroca</t>
  </si>
  <si>
    <t>Unaí</t>
  </si>
  <si>
    <t>-16.37332599062003</t>
  </si>
  <si>
    <t>SMART PRATA 925 IBURA</t>
  </si>
  <si>
    <t>R. Rio Xingu</t>
  </si>
  <si>
    <t>51240-040</t>
  </si>
  <si>
    <t>Ibura</t>
  </si>
  <si>
    <t>-8.117866927924553</t>
  </si>
  <si>
    <t>MIX MATEUS CHAPADINHA</t>
  </si>
  <si>
    <t>BR-222</t>
  </si>
  <si>
    <t>Mix Mateus - Chapadinha</t>
  </si>
  <si>
    <t>65500-000</t>
  </si>
  <si>
    <t>Parque Moisés Amorim</t>
  </si>
  <si>
    <t xml:space="preserve">Chapadinha </t>
  </si>
  <si>
    <t>-3.71187754563328</t>
  </si>
  <si>
    <t>SMART CENTRO FLORIANO</t>
  </si>
  <si>
    <t>R. José Guimarães</t>
  </si>
  <si>
    <t>64800-000</t>
  </si>
  <si>
    <t xml:space="preserve">Floriano </t>
  </si>
  <si>
    <t>-6.767770347305971</t>
  </si>
  <si>
    <t>SMART V3 GLUCK ITAÚ DE MINAS</t>
  </si>
  <si>
    <t>RUA Dr. JOSÉ BALBINO</t>
  </si>
  <si>
    <t>37975-000</t>
  </si>
  <si>
    <t>ITAÚ DE MINAS</t>
  </si>
  <si>
    <t>-20.743957380835006</t>
  </si>
  <si>
    <t>SMART MIX MATEUS ATACAREJO ABAETETUBA</t>
  </si>
  <si>
    <t>PA-409</t>
  </si>
  <si>
    <t>Mix Mateus Atacarejo Abaetetuba</t>
  </si>
  <si>
    <t>68440-000</t>
  </si>
  <si>
    <t>Abaetetuba</t>
  </si>
  <si>
    <t>-1.7421474504886352</t>
  </si>
  <si>
    <t>SMART V3 SUPERMERCADO CENTERBOX GRANJA</t>
  </si>
  <si>
    <t>R. VITAL BRASIL</t>
  </si>
  <si>
    <t>60541-495</t>
  </si>
  <si>
    <t>GRANJA PORTUGAL</t>
  </si>
  <si>
    <t xml:space="preserve">Fortaleza </t>
  </si>
  <si>
    <t>-3.7778233961960344</t>
  </si>
  <si>
    <t>SMART CENTRO SANTANA DO IPANEMA</t>
  </si>
  <si>
    <t>R. Nilo Peçanha</t>
  </si>
  <si>
    <t>57500-000</t>
  </si>
  <si>
    <t>Santana Do Ipanema,</t>
  </si>
  <si>
    <t>-9.372850905103078</t>
  </si>
  <si>
    <t>SMART CENTRO DRACENA</t>
  </si>
  <si>
    <t>Av. José Bonifácio</t>
  </si>
  <si>
    <t>17900-000</t>
  </si>
  <si>
    <t>Vila Barros</t>
  </si>
  <si>
    <t>Dracena</t>
  </si>
  <si>
    <t>-21.485673130442716</t>
  </si>
  <si>
    <t>SMART V3 ATACADÃO BOA VIAGEM</t>
  </si>
  <si>
    <t>R. FRANCISCO CORREIA DE MORAIS</t>
  </si>
  <si>
    <t>51030-840</t>
  </si>
  <si>
    <t>IMBIRIBEIRA</t>
  </si>
  <si>
    <t>-8.124114649577747</t>
  </si>
  <si>
    <t>SMART V3 CENTRO CACULÉ</t>
  </si>
  <si>
    <t>TRAVESSA CORAÇÃO DE JESUS,</t>
  </si>
  <si>
    <t>46300-000</t>
  </si>
  <si>
    <t>CACULÉ</t>
  </si>
  <si>
    <t>-14.503800012134239</t>
  </si>
  <si>
    <t>SMART V3 SHOPPING BRASILIA DE MINAS</t>
  </si>
  <si>
    <t>AV. BIAS FORTES</t>
  </si>
  <si>
    <t>SHOPPING BRASILIA DE MINAS</t>
  </si>
  <si>
    <t>39330-000</t>
  </si>
  <si>
    <t>BRASILIA DE MINAS</t>
  </si>
  <si>
    <t>-16.2128974844876</t>
  </si>
  <si>
    <t>SMART MATEUS BARCARENA</t>
  </si>
  <si>
    <t>Av. Cônego Batista Campos</t>
  </si>
  <si>
    <t>Mix Mateus</t>
  </si>
  <si>
    <t>68445-000</t>
  </si>
  <si>
    <t>Murucupi</t>
  </si>
  <si>
    <t xml:space="preserve">Barcarena </t>
  </si>
  <si>
    <t>-1.5188767193152675</t>
  </si>
  <si>
    <t>TOUTI FULL II ARAGUAIA SHOPPING</t>
  </si>
  <si>
    <t>RUA 44</t>
  </si>
  <si>
    <t>Araguaia Shopping</t>
  </si>
  <si>
    <t>74063-920</t>
  </si>
  <si>
    <t>SETOR CENTRAL</t>
  </si>
  <si>
    <t>-16.659498084108783</t>
  </si>
  <si>
    <t>LOJA CENTRO SANTA CRUZ</t>
  </si>
  <si>
    <t>R. Dr. Pedro de Medeiros</t>
  </si>
  <si>
    <t>59200-000</t>
  </si>
  <si>
    <t>-6.230642893757533</t>
  </si>
  <si>
    <t>SMART THEDO MAX SUPERMERCADO UMBAUBA</t>
  </si>
  <si>
    <t>R. José Costa</t>
  </si>
  <si>
    <t>Thedo Max Supermercado</t>
  </si>
  <si>
    <t>49260-000</t>
  </si>
  <si>
    <t xml:space="preserve">Umbaúba </t>
  </si>
  <si>
    <t>-11.381874506645197</t>
  </si>
  <si>
    <t>SMART V3 SHOPPING TROPICAL PLAZA</t>
  </si>
  <si>
    <t>AV: RUI BARBOSA</t>
  </si>
  <si>
    <t>SHOPPING TROPICAL PLAZA</t>
  </si>
  <si>
    <t>27910-362</t>
  </si>
  <si>
    <t>-22.37618620275656</t>
  </si>
  <si>
    <t>SMART ATACADÃO BARREIRAS</t>
  </si>
  <si>
    <t>Av. Clériston Andrade</t>
  </si>
  <si>
    <t>47803-550</t>
  </si>
  <si>
    <t>Mimoso</t>
  </si>
  <si>
    <t xml:space="preserve">Barreiras </t>
  </si>
  <si>
    <t>-12.140304979648768</t>
  </si>
  <si>
    <t>SMART ESTAÇÃO IMBUI</t>
  </si>
  <si>
    <t xml:space="preserve">AV. LUÍS VIANA FILHO </t>
  </si>
  <si>
    <t>41720-200</t>
  </si>
  <si>
    <t>IMBUÍ</t>
  </si>
  <si>
    <t>-12.93884156167024</t>
  </si>
  <si>
    <t>LOJA CENTRO MASSAPE</t>
  </si>
  <si>
    <t>R PEDRO OLIMPIO DE MENEZES</t>
  </si>
  <si>
    <t>62140-000</t>
  </si>
  <si>
    <t xml:space="preserve">MASSAPE </t>
  </si>
  <si>
    <t>-3.5264184879266347</t>
  </si>
  <si>
    <t>SMART LOJA CENTRO VITORIA DE SANTO ANTÃO</t>
  </si>
  <si>
    <t>Tv. Cap. Fagundes</t>
  </si>
  <si>
    <t>55602-020</t>
  </si>
  <si>
    <t>Vitória de Santo Antão</t>
  </si>
  <si>
    <t>-8.117881891911509</t>
  </si>
  <si>
    <t>SMART MIX BAHIA SUPER</t>
  </si>
  <si>
    <t>Rua principal</t>
  </si>
  <si>
    <t>Mix Bahia Supermercado - Nova brasileira</t>
  </si>
  <si>
    <t>48180-000</t>
  </si>
  <si>
    <t>Porto de sauipe</t>
  </si>
  <si>
    <t>Entre Rios</t>
  </si>
  <si>
    <t>-12.387401029751846</t>
  </si>
  <si>
    <t>SHOPPING CIDADE MANOA</t>
  </si>
  <si>
    <t>Av. Francisco Queiroz</t>
  </si>
  <si>
    <t>Shopping Cidade Manoa</t>
  </si>
  <si>
    <t>69074-020</t>
  </si>
  <si>
    <t>Col. Santo Antônio</t>
  </si>
  <si>
    <t>-3.0298536107844276</t>
  </si>
  <si>
    <t>SMART SUPERMERCADO UNIÃO</t>
  </si>
  <si>
    <t>Av. Bahia</t>
  </si>
  <si>
    <t>38440-188</t>
  </si>
  <si>
    <t xml:space="preserve">Araguari </t>
  </si>
  <si>
    <t>-18.65731232237352</t>
  </si>
  <si>
    <t>SMART V3 - SUPERMERCADO UNIPREÇO - JUAZEIRO - BA</t>
  </si>
  <si>
    <t>Av. Girassol</t>
  </si>
  <si>
    <t>Supermercado UniPreço</t>
  </si>
  <si>
    <t>48916-426</t>
  </si>
  <si>
    <t>Argemiro</t>
  </si>
  <si>
    <t>-9.437845490640699</t>
  </si>
  <si>
    <t>SMART ASSAI ATACADISTA RONDONOPOLIS</t>
  </si>
  <si>
    <t>Av. Pres. Médici</t>
  </si>
  <si>
    <t>78750-000</t>
  </si>
  <si>
    <t>Vila Birigui</t>
  </si>
  <si>
    <t>Rondonópolis</t>
  </si>
  <si>
    <t>-16.46619060806462</t>
  </si>
  <si>
    <t>SMART CENTRO GANDU</t>
  </si>
  <si>
    <t>R. Landulfo Alves</t>
  </si>
  <si>
    <t>45450-000</t>
  </si>
  <si>
    <t xml:space="preserve">Gandu </t>
  </si>
  <si>
    <t>-13.745113952213721</t>
  </si>
  <si>
    <t xml:space="preserve">SMART V3 CARREFOUR HIPERMERCADO S.J.C </t>
  </si>
  <si>
    <t>AV. DEP. BENEDITO MATARAZZO</t>
  </si>
  <si>
    <t>12246-840</t>
  </si>
  <si>
    <t>JARDIM SERIMBURA</t>
  </si>
  <si>
    <t>SÃO JOSÉ DOS CAMPOS</t>
  </si>
  <si>
    <t>-23.22282600033431</t>
  </si>
  <si>
    <t>SMART V3 SHOPPING COSTA DA PRAIA</t>
  </si>
  <si>
    <t>AV. DR. OLIVIO LIRA</t>
  </si>
  <si>
    <t>29101-950</t>
  </si>
  <si>
    <t>PRAIA DA COSTA</t>
  </si>
  <si>
    <t>VILA VELHA</t>
  </si>
  <si>
    <t>-20.34183482140548</t>
  </si>
  <si>
    <t>SMART VIA DUPLA JANAUBA</t>
  </si>
  <si>
    <t>Av. Osvaldo Cruz</t>
  </si>
  <si>
    <t>Padre Eustáquio</t>
  </si>
  <si>
    <t xml:space="preserve">Janaúba </t>
  </si>
  <si>
    <t>-15.799421784841623</t>
  </si>
  <si>
    <t>SMART HIPER DB NOVA CIDADE</t>
  </si>
  <si>
    <t>Av. Margarita</t>
  </si>
  <si>
    <t>Hiper DB Nova Cidade</t>
  </si>
  <si>
    <t>69097-305</t>
  </si>
  <si>
    <t>-3.002990360962151</t>
  </si>
  <si>
    <t>SMART SHOP CENTER SANTO AMARO</t>
  </si>
  <si>
    <t>Av. Padre José Maria</t>
  </si>
  <si>
    <t>Shopping Center Santo Amaro</t>
  </si>
  <si>
    <t>04751-000</t>
  </si>
  <si>
    <t>-3.0029317795429638</t>
  </si>
  <si>
    <t xml:space="preserve">SMART EMPRESARIAL MULHERES EMPREENDEDORAS </t>
  </si>
  <si>
    <t>R. Conselheiro Paranhos</t>
  </si>
  <si>
    <t>44200-000</t>
  </si>
  <si>
    <t>-12.547832915152815</t>
  </si>
  <si>
    <t>SMART V3 - CENTRO MATRIZ DE CAMARAGIBE - JOELLYNGTON - AL</t>
  </si>
  <si>
    <t>Praça Bom Jesus</t>
  </si>
  <si>
    <t>57910-000</t>
  </si>
  <si>
    <t>Matriz de Camaragibe</t>
  </si>
  <si>
    <t>-9.156605930318467</t>
  </si>
  <si>
    <t>SMART V3 SUPERMERCADO TAI MAX JARU</t>
  </si>
  <si>
    <t>R. MAL. RONDON</t>
  </si>
  <si>
    <t>76890-000</t>
  </si>
  <si>
    <t>JARU</t>
  </si>
  <si>
    <t>-10.437893440984876</t>
  </si>
  <si>
    <t>SMART ELETRONFOTO LAGARTO</t>
  </si>
  <si>
    <t>RUA DR LIPICINIO</t>
  </si>
  <si>
    <t xml:space="preserve"> LOJA 01</t>
  </si>
  <si>
    <t xml:space="preserve">LAGARTO </t>
  </si>
  <si>
    <t>4940000</t>
  </si>
  <si>
    <t>-10.915413222594923</t>
  </si>
  <si>
    <t>SMART CENTRO PORTEIRINHA</t>
  </si>
  <si>
    <t>Av. Arthur Bernardes</t>
  </si>
  <si>
    <t>39520-000</t>
  </si>
  <si>
    <t xml:space="preserve">Porteirinha </t>
  </si>
  <si>
    <t>-15.741849832015417</t>
  </si>
  <si>
    <t>SMART MATEUS ESTREITO</t>
  </si>
  <si>
    <t>Rod. Bernardo Sayão</t>
  </si>
  <si>
    <t>Supermercado Mateus</t>
  </si>
  <si>
    <t>65975-000</t>
  </si>
  <si>
    <t xml:space="preserve">Estreito </t>
  </si>
  <si>
    <t>-6.549912099409466</t>
  </si>
  <si>
    <t xml:space="preserve">SMART V3 CENTRO MARTINOPOLIS </t>
  </si>
  <si>
    <t>RUA 9 DE JULHO</t>
  </si>
  <si>
    <t>19500-000</t>
  </si>
  <si>
    <t xml:space="preserve">MARTINOPOLIS </t>
  </si>
  <si>
    <t>-22.146420217097944</t>
  </si>
  <si>
    <t>LOJA TOUTI CENTRO ITAPUÃ</t>
  </si>
  <si>
    <t>RUA HUMBERTO SERRANO</t>
  </si>
  <si>
    <t>29101-463</t>
  </si>
  <si>
    <t>ITAPOÃ</t>
  </si>
  <si>
    <t>-20.347536544959173</t>
  </si>
  <si>
    <t>LOJA TOUTI CENTRO DOMINGOS MARTINS</t>
  </si>
  <si>
    <t>Avenida Presidente Vargas</t>
  </si>
  <si>
    <t>29260-000</t>
  </si>
  <si>
    <t>Domingos Martins</t>
  </si>
  <si>
    <t>-20.36105713961093</t>
  </si>
  <si>
    <t>SMART LOPES SUPER ITAQUERA</t>
  </si>
  <si>
    <t>R. Sabbado D'Ângelo</t>
  </si>
  <si>
    <t>Lopes Supermercados</t>
  </si>
  <si>
    <t>08210-791</t>
  </si>
  <si>
    <t>Itaquera</t>
  </si>
  <si>
    <t>-23.549961478807695</t>
  </si>
  <si>
    <t>SMART CENTRO CATARINA</t>
  </si>
  <si>
    <t>Av. José Alves de Castro</t>
  </si>
  <si>
    <t>63595-000</t>
  </si>
  <si>
    <t xml:space="preserve">Catarina </t>
  </si>
  <si>
    <t>-6.13385759385299</t>
  </si>
  <si>
    <t>SMART ATACADÃO TAIPAS</t>
  </si>
  <si>
    <t>Av. Raimundo Pereira de Magalhães</t>
  </si>
  <si>
    <t>02938-000</t>
  </si>
  <si>
    <t>Jardim Pirituba</t>
  </si>
  <si>
    <t>-23.524487</t>
  </si>
  <si>
    <t>SMART DINIZ SUPERMERCADO MISSÃO VELHA</t>
  </si>
  <si>
    <t>R. Padre Félix</t>
  </si>
  <si>
    <t>63200-000</t>
  </si>
  <si>
    <t>Missão Velha</t>
  </si>
  <si>
    <t>-7.221532</t>
  </si>
  <si>
    <t>DINIZ SUPER JUZEIRO DO NORTE</t>
  </si>
  <si>
    <t>Av. Ailton Gomes</t>
  </si>
  <si>
    <t>63034-012</t>
  </si>
  <si>
    <t>José Geraldo da Cruz</t>
  </si>
  <si>
    <t>Juazeiro do Norte</t>
  </si>
  <si>
    <t>-7.221915</t>
  </si>
  <si>
    <t>FULL TOUTI PARK SHOP CAMPO GRANDE</t>
  </si>
  <si>
    <t xml:space="preserve"> Estr. do Monteiro</t>
  </si>
  <si>
    <t>23045-830</t>
  </si>
  <si>
    <t>-22.927422</t>
  </si>
  <si>
    <t>SMART ATACADÃO PITIMBU</t>
  </si>
  <si>
    <t xml:space="preserve">Natal </t>
  </si>
  <si>
    <t>-5.865045</t>
  </si>
  <si>
    <t>FULL TOUTI SHOP JARDIM NORTE</t>
  </si>
  <si>
    <t>36080-060</t>
  </si>
  <si>
    <t>Mariano Procópio</t>
  </si>
  <si>
    <t>Juiz de Fora</t>
  </si>
  <si>
    <t>-21.739956</t>
  </si>
  <si>
    <t>SMART SHOPPING METRÔ FORTALEZA</t>
  </si>
  <si>
    <t>R 24 de Maio</t>
  </si>
  <si>
    <t>60030-000</t>
  </si>
  <si>
    <t>-3.724097</t>
  </si>
  <si>
    <t>SMART ROYAL PLAZA SHOPPING</t>
  </si>
  <si>
    <t>Av. Nossa Sra. das Dores</t>
  </si>
  <si>
    <t>97050-531</t>
  </si>
  <si>
    <t>Nossa Sra. das Dores</t>
  </si>
  <si>
    <t>-29.689484</t>
  </si>
  <si>
    <t>SMART TERMINAL RODOVIARIO ALTAMIRA</t>
  </si>
  <si>
    <t>Terminal Rodoviário Interestadual de Altamira</t>
  </si>
  <si>
    <t>68371-000</t>
  </si>
  <si>
    <t>Sudam I</t>
  </si>
  <si>
    <t xml:space="preserve">Altamira </t>
  </si>
  <si>
    <t>-3.205662378952315</t>
  </si>
  <si>
    <t>LOJA FEIBOX</t>
  </si>
  <si>
    <t>QS 03</t>
  </si>
  <si>
    <t xml:space="preserve">Lote 01 </t>
  </si>
  <si>
    <t>Loja 118</t>
  </si>
  <si>
    <t>71953-000</t>
  </si>
  <si>
    <t>Taguatinga</t>
  </si>
  <si>
    <t xml:space="preserve">Brasília </t>
  </si>
  <si>
    <t xml:space="preserve"> -15.843309850881882</t>
  </si>
  <si>
    <t>LOJA CENTRO ITUMBIARA</t>
  </si>
  <si>
    <t>Rua Rui de Almeida</t>
  </si>
  <si>
    <t xml:space="preserve">Itumbiara </t>
  </si>
  <si>
    <t xml:space="preserve">75503090 </t>
  </si>
  <si>
    <t>-18.41848002952086</t>
  </si>
  <si>
    <t>FULL SHOPPING CONJUNTO NACIONAL</t>
  </si>
  <si>
    <t>SDN, CNB</t>
  </si>
  <si>
    <t>COMPLEMENTO LOJA 2022</t>
  </si>
  <si>
    <t>70077-900</t>
  </si>
  <si>
    <t xml:space="preserve"> Asa Norte</t>
  </si>
  <si>
    <t>-15.787465938517796</t>
  </si>
  <si>
    <t>TOUTI FULL SHOPPING TIVOLI</t>
  </si>
  <si>
    <t>R. do Ósmio</t>
  </si>
  <si>
    <t>13456-625</t>
  </si>
  <si>
    <t>Vila Mollon IV</t>
  </si>
  <si>
    <t>Santa Bárbara d'Oeste</t>
  </si>
  <si>
    <t>-22.74937116346275</t>
  </si>
  <si>
    <t>FULL TOUTI PATIO CENTRAL SHOP</t>
  </si>
  <si>
    <t>Praça Alexina Cândida Conceição</t>
  </si>
  <si>
    <t>38700-022</t>
  </si>
  <si>
    <t>-18.585108920660176</t>
  </si>
  <si>
    <t>SMART V3 CENTRO REMANSO</t>
  </si>
  <si>
    <t>RUA DOS EVANGELHOS</t>
  </si>
  <si>
    <t>MERCADO MUNICIPAL</t>
  </si>
  <si>
    <t xml:space="preserve"> 47200-000</t>
  </si>
  <si>
    <t xml:space="preserve">REMANSO </t>
  </si>
  <si>
    <t>-9.622530276460395</t>
  </si>
  <si>
    <t>SMART ESTAÇÃO AGUAS CLARAS</t>
  </si>
  <si>
    <t>R. Dr. Edson Bezerril</t>
  </si>
  <si>
    <t>41311-426</t>
  </si>
  <si>
    <t xml:space="preserve"> Águas Claras</t>
  </si>
  <si>
    <t xml:space="preserve">Salvador </t>
  </si>
  <si>
    <t>-12.895880239346276</t>
  </si>
  <si>
    <t>FULL DF PLAZA SHOPPING</t>
  </si>
  <si>
    <t>R. Copaíba</t>
  </si>
  <si>
    <t xml:space="preserve"> lote 01</t>
  </si>
  <si>
    <t>71919-540</t>
  </si>
  <si>
    <t>Águas Claras</t>
  </si>
  <si>
    <t>-15.83154749590962</t>
  </si>
  <si>
    <t>SMART ESTAÇAO AEROPORTO</t>
  </si>
  <si>
    <t xml:space="preserve">Av. Santos Dumont </t>
  </si>
  <si>
    <t>42700-000</t>
  </si>
  <si>
    <t>Lauro de Freitas</t>
  </si>
  <si>
    <t>-12.88433947920002</t>
  </si>
  <si>
    <t>SMART ATACAREJO PERIPERI</t>
  </si>
  <si>
    <t>R. Frederico Costa</t>
  </si>
  <si>
    <t>40727-070</t>
  </si>
  <si>
    <t>Ê</t>
  </si>
  <si>
    <t>-12.866640684278003</t>
  </si>
  <si>
    <t>SMART ATACADÃO PORTÃO LAURO DE FREITAS</t>
  </si>
  <si>
    <t>Portão: Avenida Santos Dumont</t>
  </si>
  <si>
    <t>Km - 6,5</t>
  </si>
  <si>
    <t>-12.875757493975387</t>
  </si>
  <si>
    <t>SMART ATACADÃO IRECÊ</t>
  </si>
  <si>
    <t>BA-052  Km 353</t>
  </si>
  <si>
    <t>44900-000</t>
  </si>
  <si>
    <t xml:space="preserve">Irecê </t>
  </si>
  <si>
    <t>-11.28366174596673</t>
  </si>
  <si>
    <t>SMART V3 SUPERMERCADO RCARVALHO MOCAMBINHO</t>
  </si>
  <si>
    <t>AV. PREF. FREITAS NETO</t>
  </si>
  <si>
    <t>64010-060</t>
  </si>
  <si>
    <t>MOCAMBINHO</t>
  </si>
  <si>
    <t xml:space="preserve">TERESINA </t>
  </si>
  <si>
    <t>-5.03439536971969</t>
  </si>
  <si>
    <t>SMART ASSAI MARISTA</t>
  </si>
  <si>
    <t>Av. Portugal</t>
  </si>
  <si>
    <t>74150-030</t>
  </si>
  <si>
    <t>St. Marista</t>
  </si>
  <si>
    <t xml:space="preserve">Goiânia </t>
  </si>
  <si>
    <t>-16.69229300377383</t>
  </si>
  <si>
    <t>FULL TOUTI PARTAGE SANTANA SHOPPING</t>
  </si>
  <si>
    <t xml:space="preserve"> R. Conselheiro Moreira de Barros</t>
  </si>
  <si>
    <t>-23.482657953589044</t>
  </si>
  <si>
    <t>SMART V3 MIX MATEUS TIRIRICAL</t>
  </si>
  <si>
    <t>Av. Guajajaras</t>
  </si>
  <si>
    <t>65055-285</t>
  </si>
  <si>
    <t>Tirirical</t>
  </si>
  <si>
    <t>-2.564832915387978</t>
  </si>
  <si>
    <t>LOJA CENTRO SÃO PAULO DO POTENGI</t>
  </si>
  <si>
    <t>R BENTO URBANO NÚMERO</t>
  </si>
  <si>
    <t>59.460-000</t>
  </si>
  <si>
    <t xml:space="preserve">SAO PAULO DO POTENGI </t>
  </si>
  <si>
    <t>-5.894637649759527</t>
  </si>
  <si>
    <t>FULL TOUTI BANGU SHOPPING</t>
  </si>
  <si>
    <t>R. Fonseca</t>
  </si>
  <si>
    <t>BANGU SHOPPING</t>
  </si>
  <si>
    <t>21820-005</t>
  </si>
  <si>
    <t>-22.878456507021095</t>
  </si>
  <si>
    <t>FULL TOUTI SHOP CAPIM DOURADO</t>
  </si>
  <si>
    <t>Q. 107 Norte Avenida NS 5</t>
  </si>
  <si>
    <t xml:space="preserve"> Capim Dourado Shopping</t>
  </si>
  <si>
    <t>77001-098</t>
  </si>
  <si>
    <t>Plano Diretor Norte</t>
  </si>
  <si>
    <t xml:space="preserve">Palmas </t>
  </si>
  <si>
    <t>-10.182690042897073</t>
  </si>
  <si>
    <t>FULL TOUTI SHOP AMERICANA</t>
  </si>
  <si>
    <t>Av. Nossa Sra. de Fátima</t>
  </si>
  <si>
    <t>Americana Shopping</t>
  </si>
  <si>
    <t>13478-580</t>
  </si>
  <si>
    <t>Vila Nossa Sra. de Fatima</t>
  </si>
  <si>
    <t xml:space="preserve">Americana </t>
  </si>
  <si>
    <t>-22.74644276494196</t>
  </si>
  <si>
    <t>SMART CENTRO SÃO JOÃO DO PIAUI</t>
  </si>
  <si>
    <t>Av. Candido Coelho</t>
  </si>
  <si>
    <t>64760-000</t>
  </si>
  <si>
    <t>Barro vermelho</t>
  </si>
  <si>
    <t>São João do Piauí</t>
  </si>
  <si>
    <t>-8.355152755064692</t>
  </si>
  <si>
    <t>LOJA PATO DE MINAS 3</t>
  </si>
  <si>
    <t xml:space="preserve"> Boa Vista</t>
  </si>
  <si>
    <t>-18.59633896775904</t>
  </si>
  <si>
    <t>TOUTI FULL SHOPPING PRAÇA NOVA ARAÇATUBA</t>
  </si>
  <si>
    <t>Rua Carlos Pereira da Silva</t>
  </si>
  <si>
    <t>Shopping Praça Nova Araçatuba</t>
  </si>
  <si>
    <t>16026-035</t>
  </si>
  <si>
    <t>Jardim Guanabara</t>
  </si>
  <si>
    <t xml:space="preserve">Araçatuba </t>
  </si>
  <si>
    <t>-21.21193464881082</t>
  </si>
  <si>
    <t>FULL TOUTI SHOP NOVA IGUAÇU</t>
  </si>
  <si>
    <t>Av. Abílio Augusto Távora</t>
  </si>
  <si>
    <t>Shopping Nova Iguaçu</t>
  </si>
  <si>
    <t>26260-045</t>
  </si>
  <si>
    <t>Luz</t>
  </si>
  <si>
    <t>Nova Iguaçu</t>
  </si>
  <si>
    <t>-22.762583888907507</t>
  </si>
  <si>
    <t>FULL TOUTI SHOP BOULEVARD RJ</t>
  </si>
  <si>
    <t>R. Barão de São Francisco</t>
  </si>
  <si>
    <t>Shopping Boulevard</t>
  </si>
  <si>
    <t>20560-030</t>
  </si>
  <si>
    <t xml:space="preserve"> Vila Isabel</t>
  </si>
  <si>
    <t>-22.919084694747852</t>
  </si>
  <si>
    <t>MINIFULL PRAÇA UBERABA SHOP CENTER</t>
  </si>
  <si>
    <t xml:space="preserve"> Av. Leopoldino de Oliveira</t>
  </si>
  <si>
    <t>Praça Uberaba Shopping Center</t>
  </si>
  <si>
    <t>38060-000</t>
  </si>
  <si>
    <t>Vila Olímpica</t>
  </si>
  <si>
    <t>-19.73798297206156</t>
  </si>
  <si>
    <t>SMART VILA NOEMIA MAUA</t>
  </si>
  <si>
    <t>R. Nelson Barbosa Ferreira</t>
  </si>
  <si>
    <t>09370-560</t>
  </si>
  <si>
    <t xml:space="preserve"> Vila Noemia</t>
  </si>
  <si>
    <t xml:space="preserve">Mauá </t>
  </si>
  <si>
    <t>-23.671467664286073</t>
  </si>
  <si>
    <t>FULL TOUTI SHOPPING ILHA PLAZA</t>
  </si>
  <si>
    <t>Av. Maestro Paulo e Silva</t>
  </si>
  <si>
    <t>21920-445</t>
  </si>
  <si>
    <t>-22.801857399139713</t>
  </si>
  <si>
    <t>FULL TOUTI SHOPPING AMERICAS</t>
  </si>
  <si>
    <t>Av. das Américas</t>
  </si>
  <si>
    <t>22790-702</t>
  </si>
  <si>
    <t>Recreio dos Bandeirantes</t>
  </si>
  <si>
    <t>-23.011134183960507</t>
  </si>
  <si>
    <t>FULL TOUTI SHOP CARIOCA I</t>
  </si>
  <si>
    <t>Av. Vicente de Carvalho</t>
  </si>
  <si>
    <t>Carioca Shopping</t>
  </si>
  <si>
    <t>21210-000</t>
  </si>
  <si>
    <t>Vila da Penha</t>
  </si>
  <si>
    <t>-22.849795679336637</t>
  </si>
  <si>
    <t>LOJA CENTRO SANTANA</t>
  </si>
  <si>
    <t xml:space="preserve"> Rua: José Bonifácio</t>
  </si>
  <si>
    <t>47700-435</t>
  </si>
  <si>
    <t>Santana</t>
  </si>
  <si>
    <t>-12.982200899065347</t>
  </si>
  <si>
    <t>SMART SHOPPING CAJAZEIRAS SALVADOR</t>
  </si>
  <si>
    <t xml:space="preserve"> Fazenda Grande II - Estr. do Coqueiro Grande</t>
  </si>
  <si>
    <t>Shopping Cajazeiras</t>
  </si>
  <si>
    <t>41342-315</t>
  </si>
  <si>
    <t>-12.904762482715176</t>
  </si>
  <si>
    <t xml:space="preserve">SMART MIX MATEUS JARDIM TROPICAL </t>
  </si>
  <si>
    <t>R. Dois</t>
  </si>
  <si>
    <t>-2.568478625676025</t>
  </si>
  <si>
    <t>FULL TOUTI MADUREIRA SHOP</t>
  </si>
  <si>
    <t xml:space="preserve"> Estr. do Portela</t>
  </si>
  <si>
    <t>Madureira Shopping</t>
  </si>
  <si>
    <t>21351-050</t>
  </si>
  <si>
    <t>Madureira</t>
  </si>
  <si>
    <t>-22.870517193440687</t>
  </si>
  <si>
    <t>SMART SUPERMERCADO MORANGUINHO HORIZONTE</t>
  </si>
  <si>
    <t>R. Raimundo Nogueira Lopes</t>
  </si>
  <si>
    <t>Supermercado Moranguinho Horizonte</t>
  </si>
  <si>
    <t>62880-132</t>
  </si>
  <si>
    <t xml:space="preserve">Horizonte </t>
  </si>
  <si>
    <t>-4.100068820416651</t>
  </si>
  <si>
    <t>FULL TOUTI BOULEVARD SHOP FEIRA DE SANTANA</t>
  </si>
  <si>
    <t>Av. João Durval Carneiro</t>
  </si>
  <si>
    <t>Boulevard Shopping Feira de Santana</t>
  </si>
  <si>
    <t>44052-064</t>
  </si>
  <si>
    <t>Caseb</t>
  </si>
  <si>
    <t xml:space="preserve">Feira de Santana </t>
  </si>
  <si>
    <t>-12.241154974672533</t>
  </si>
  <si>
    <t>TOUTI FULL PLAZA AVENIDA SJRP</t>
  </si>
  <si>
    <t>Av. José Munia</t>
  </si>
  <si>
    <t>Plaza Avenida Shopping</t>
  </si>
  <si>
    <t>15085-350</t>
  </si>
  <si>
    <t>Jardim Redentor</t>
  </si>
  <si>
    <t xml:space="preserve"> São José do Rio Preto</t>
  </si>
  <si>
    <t>-20.82681056333927</t>
  </si>
  <si>
    <t>SMART V3 CENTRO INDAIABIRA</t>
  </si>
  <si>
    <t>R. TAIOBEIRAS</t>
  </si>
  <si>
    <t>39536-000</t>
  </si>
  <si>
    <t>BARRA DE ALEGRIA</t>
  </si>
  <si>
    <t xml:space="preserve">INDAIABIRA </t>
  </si>
  <si>
    <t>-15.500786858940375</t>
  </si>
  <si>
    <t>SMART V3 CENTRO PEREIRO</t>
  </si>
  <si>
    <t>AV. CAP. XAVIER</t>
  </si>
  <si>
    <t>63460-000</t>
  </si>
  <si>
    <t>PEREIRO</t>
  </si>
  <si>
    <t>-6.046283551561148</t>
  </si>
  <si>
    <t>SMART V3 CENTRO JAICÓS</t>
  </si>
  <si>
    <t>AV CAPITÃO JOSE FLORENCIO</t>
  </si>
  <si>
    <t>64.575-000</t>
  </si>
  <si>
    <t>SERRANOPOLIS</t>
  </si>
  <si>
    <t>Jaicós</t>
  </si>
  <si>
    <t>-7.353056527036305</t>
  </si>
  <si>
    <t>SMART ATACADÃO TABOÃO DA SERRA</t>
  </si>
  <si>
    <t xml:space="preserve"> Rod. Régis Bittencourt</t>
  </si>
  <si>
    <t xml:space="preserve">Atacadão - Taboão da Serra </t>
  </si>
  <si>
    <t>06754-150</t>
  </si>
  <si>
    <t>Chácara Agrindus</t>
  </si>
  <si>
    <t>Taboão da Serra</t>
  </si>
  <si>
    <t>-23.60789890464283</t>
  </si>
  <si>
    <t>SMART MINEIRÃO ATACAREJO SÃO SEBASTIÃO DO PARAISO</t>
  </si>
  <si>
    <t>R. Luís Paschoali</t>
  </si>
  <si>
    <t>Mineirão atacarejo</t>
  </si>
  <si>
    <t>37952-076</t>
  </si>
  <si>
    <t>Conjunto Habitacional Maria Italiana</t>
  </si>
  <si>
    <t>São Sebastião do Paraíso</t>
  </si>
  <si>
    <t>-20.901726178108444</t>
  </si>
  <si>
    <t>SMART V3 SUPERMERCADO CAMINO PORTO FRANCO</t>
  </si>
  <si>
    <t>10A  AVENIDA BENEDITO LEITE</t>
  </si>
  <si>
    <t>7-246</t>
  </si>
  <si>
    <t>Camino Supermercado</t>
  </si>
  <si>
    <t>65970-000</t>
  </si>
  <si>
    <t>PORTO FRANCO</t>
  </si>
  <si>
    <t>-6.339538687733507</t>
  </si>
  <si>
    <t xml:space="preserve">SMART SHOPPING BLUE 22 </t>
  </si>
  <si>
    <t>Av. 22 de Abril</t>
  </si>
  <si>
    <t>Shopping Blue 22</t>
  </si>
  <si>
    <t>45810-000</t>
  </si>
  <si>
    <t xml:space="preserve"> Porto Seguro</t>
  </si>
  <si>
    <t>-16.44356541476992</t>
  </si>
  <si>
    <t>SMART V3 JARDINS DE VILHENA SHOPPING</t>
  </si>
  <si>
    <t>AV. ARQUITETO ELIAS ARRUDA</t>
  </si>
  <si>
    <t>76983-079</t>
  </si>
  <si>
    <t>RES. CIDADE VERDE</t>
  </si>
  <si>
    <t xml:space="preserve">VILHENA </t>
  </si>
  <si>
    <t>-12.705404712241565</t>
  </si>
  <si>
    <t>SMART HIPER CENTER TUPÃ</t>
  </si>
  <si>
    <t>Av. Lélio Pizza</t>
  </si>
  <si>
    <t>Hiper Center Tupã</t>
  </si>
  <si>
    <t>17600-710</t>
  </si>
  <si>
    <t>Chácaras Urbanas</t>
  </si>
  <si>
    <t xml:space="preserve">Tupã </t>
  </si>
  <si>
    <t>-21.945051183864745</t>
  </si>
  <si>
    <t>SMART V3 ASSAÍ ATACADISTA JABOUR</t>
  </si>
  <si>
    <t>AV. FERNANDO FERRARI</t>
  </si>
  <si>
    <t>29075-010</t>
  </si>
  <si>
    <t>JABOUR</t>
  </si>
  <si>
    <t xml:space="preserve">VITORIA </t>
  </si>
  <si>
    <t>-20.262552680722656</t>
  </si>
  <si>
    <t xml:space="preserve">SMART V3 ECONOMART SUL </t>
  </si>
  <si>
    <t>R. RIO GRANDE</t>
  </si>
  <si>
    <t xml:space="preserve">ECONOMART SUL </t>
  </si>
  <si>
    <t>47853-062</t>
  </si>
  <si>
    <t>SETOR COMERCIAL SUL</t>
  </si>
  <si>
    <t>LUIS EDUARDO MARGALHÃES</t>
  </si>
  <si>
    <t>-12.09463474112811</t>
  </si>
  <si>
    <t>SMART MATEUS SUPERMERCADOS CODO</t>
  </si>
  <si>
    <t>Av. João Ribeiro</t>
  </si>
  <si>
    <t>65400-000</t>
  </si>
  <si>
    <t xml:space="preserve"> Codó</t>
  </si>
  <si>
    <t>-4.471956801676657</t>
  </si>
  <si>
    <t>FULL TOUTI SHOPPING GRANDE RIO Q1</t>
  </si>
  <si>
    <t>R. Maria Soares Sendas</t>
  </si>
  <si>
    <t>25575-825</t>
  </si>
  <si>
    <t>Parque Barreto</t>
  </si>
  <si>
    <t>São João de Meriti</t>
  </si>
  <si>
    <t>-22.796796771232014</t>
  </si>
  <si>
    <t>FULL TOUTI SHOPPING GRANDE RIO Q2</t>
  </si>
  <si>
    <t>R. Maria Soares Sendas,</t>
  </si>
  <si>
    <t>TOUTI MINIFULL FONSECA SHOP MOCOCA</t>
  </si>
  <si>
    <t>Av. Américo Pereira Lima</t>
  </si>
  <si>
    <t>Fonseca Shopping</t>
  </si>
  <si>
    <t>13736-260</t>
  </si>
  <si>
    <t>Jardim Lavinia</t>
  </si>
  <si>
    <t xml:space="preserve">Mococa </t>
  </si>
  <si>
    <t>-21.473327309657748</t>
  </si>
  <si>
    <t>FULL - ALAMEDA SHOP - DF</t>
  </si>
  <si>
    <t>CSB 02</t>
  </si>
  <si>
    <t>LOTES 01/04</t>
  </si>
  <si>
    <t>ALAMENDA SHOPPING</t>
  </si>
  <si>
    <t>TAGUATINGA</t>
  </si>
  <si>
    <t xml:space="preserve">BRASÍLIA </t>
  </si>
  <si>
    <t>72015901</t>
  </si>
  <si>
    <t>-15.835858249590496</t>
  </si>
  <si>
    <t xml:space="preserve">SMART ATACADÃO TAGUATINGA </t>
  </si>
  <si>
    <t xml:space="preserve">QNL 01 Setor L Norte - Área Especial </t>
  </si>
  <si>
    <t>St. L Norte QNL 1</t>
  </si>
  <si>
    <t xml:space="preserve"> Atacadão - Taguatinga</t>
  </si>
  <si>
    <t>72105-508</t>
  </si>
  <si>
    <t>-15.832784059505096</t>
  </si>
  <si>
    <t>FULL CENTRO GV</t>
  </si>
  <si>
    <t>Centro De Compras GV- Av. Getúlio Vargas</t>
  </si>
  <si>
    <t>65901-450</t>
  </si>
  <si>
    <t>-5.530589546093733</t>
  </si>
  <si>
    <t>FULL SHOPPING PALLADIUM CURITIBA</t>
  </si>
  <si>
    <t>Av. Pres. Kennedy</t>
  </si>
  <si>
    <t>Shopping Palladium</t>
  </si>
  <si>
    <t>80610-010</t>
  </si>
  <si>
    <t xml:space="preserve">Curitiba </t>
  </si>
  <si>
    <t>-25.477562803915255</t>
  </si>
  <si>
    <t>FULL TOUTI - SHOPPING CIDADE BH</t>
  </si>
  <si>
    <t>Rua dos Tupis</t>
  </si>
  <si>
    <t>Shopping cidade BH</t>
  </si>
  <si>
    <t>30190-060</t>
  </si>
  <si>
    <t>-19.921288672628105</t>
  </si>
  <si>
    <t>STRONG SHOPPING PINHEIROS</t>
  </si>
  <si>
    <t>Av. Dr. Vítor do Amaral</t>
  </si>
  <si>
    <t>Shopping Pinheiros</t>
  </si>
  <si>
    <t>83702-040</t>
  </si>
  <si>
    <t>Araucária</t>
  </si>
  <si>
    <t>-25.580970118542115</t>
  </si>
  <si>
    <t>MINI FULL PALLADIUM SHOPPING PONTA GROSSA</t>
  </si>
  <si>
    <t xml:space="preserve"> R. Ermelino de Leão</t>
  </si>
  <si>
    <t>Palladium Shopping Center Ponta Grossa</t>
  </si>
  <si>
    <t>84035-903</t>
  </si>
  <si>
    <t>Olarias</t>
  </si>
  <si>
    <t>-25.09440392605288</t>
  </si>
  <si>
    <t xml:space="preserve">SMART FEIRA SHOP BARREIRO BELO HORIZONTE </t>
  </si>
  <si>
    <t>Av. Visc. de Ibituruna</t>
  </si>
  <si>
    <t>Feira Shop</t>
  </si>
  <si>
    <t>30640-080</t>
  </si>
  <si>
    <t>Barreiro</t>
  </si>
  <si>
    <t>-19.974611823445574</t>
  </si>
  <si>
    <t>SMART CENTRO SÃO JOSÉ DA TAPERA</t>
  </si>
  <si>
    <t>Av. Elísio Maia</t>
  </si>
  <si>
    <t>1159-1223</t>
  </si>
  <si>
    <t>Farmácia São Luiz</t>
  </si>
  <si>
    <t>57445-000</t>
  </si>
  <si>
    <t>São José da Tapera</t>
  </si>
  <si>
    <t>-9.557636111439468</t>
  </si>
  <si>
    <t>SMART CENTRO RIO GRANDE</t>
  </si>
  <si>
    <t>R. Andradas</t>
  </si>
  <si>
    <t>96200-030</t>
  </si>
  <si>
    <t>-32.03266496948021</t>
  </si>
  <si>
    <t>SMART V3 CASA DA SANDÁLIA</t>
  </si>
  <si>
    <t>R. LAURO SODRÉ</t>
  </si>
  <si>
    <t>CAFEZAL</t>
  </si>
  <si>
    <t xml:space="preserve">ABAETETUBA </t>
  </si>
  <si>
    <t>-1.719292257892039</t>
  </si>
  <si>
    <t>FULL TOUTI SHOP CIDADE DA SERRA</t>
  </si>
  <si>
    <t>Av. 18 de Maio</t>
  </si>
  <si>
    <t>Shopping Cidade da Serra</t>
  </si>
  <si>
    <t>37206-840</t>
  </si>
  <si>
    <t>Chácara São Geraldo</t>
  </si>
  <si>
    <t xml:space="preserve">Lavras </t>
  </si>
  <si>
    <t>-21.265386327897488</t>
  </si>
  <si>
    <t>LOJA TOUTI JK SHOPPING</t>
  </si>
  <si>
    <t xml:space="preserve">St. M Norte QNM </t>
  </si>
  <si>
    <t xml:space="preserve">34 Área especial 01 </t>
  </si>
  <si>
    <t>JK Shopping</t>
  </si>
  <si>
    <t>72145-450</t>
  </si>
  <si>
    <t>-15.809559001767976</t>
  </si>
  <si>
    <t>SMART SUPER BH SERRA</t>
  </si>
  <si>
    <t>Av. Industrial</t>
  </si>
  <si>
    <t>Supermercados BH</t>
  </si>
  <si>
    <t>29163-357</t>
  </si>
  <si>
    <t xml:space="preserve">Serra </t>
  </si>
  <si>
    <t>-20.213522000699403</t>
  </si>
  <si>
    <t>SMART ATACADÃO PARNAMIRIM</t>
  </si>
  <si>
    <t>BR-101</t>
  </si>
  <si>
    <t>5300 - KM 15</t>
  </si>
  <si>
    <t>Atacadão - Parnamirim</t>
  </si>
  <si>
    <t>59143-360</t>
  </si>
  <si>
    <t>Conj. Planicie do Pirangi</t>
  </si>
  <si>
    <t xml:space="preserve">Parnamirim </t>
  </si>
  <si>
    <t>-5.9370676960830355</t>
  </si>
  <si>
    <t>SMART CENTRO GUARAPARI</t>
  </si>
  <si>
    <t xml:space="preserve"> Av. Dr. Roberto Calmon</t>
  </si>
  <si>
    <t>29200-340</t>
  </si>
  <si>
    <t xml:space="preserve">Guarapari </t>
  </si>
  <si>
    <t>-20.670443955608043</t>
  </si>
  <si>
    <t xml:space="preserve">SMART CENTRO ARRAIAL DO CABO </t>
  </si>
  <si>
    <t>R. Osvaldo Cruz</t>
  </si>
  <si>
    <t>28930-000</t>
  </si>
  <si>
    <t>Arraial do Cabo</t>
  </si>
  <si>
    <t>-22.96786539510268</t>
  </si>
  <si>
    <t>SMART ASSAI ATACADISTA ZONA NORTE</t>
  </si>
  <si>
    <t>R. Tancredo Neves</t>
  </si>
  <si>
    <t>Assaí Atacadista Macapá Zona Norte</t>
  </si>
  <si>
    <t>68908-530</t>
  </si>
  <si>
    <t>São Lázaro</t>
  </si>
  <si>
    <t xml:space="preserve">Macapá </t>
  </si>
  <si>
    <t>0.06657479864428885</t>
  </si>
  <si>
    <t>SMART CENTRO PARNAMIRIM</t>
  </si>
  <si>
    <t>R. Agamenon Magalhaes</t>
  </si>
  <si>
    <t>56163-000</t>
  </si>
  <si>
    <t>-8.09152641460947</t>
  </si>
  <si>
    <t>SMART DELMORO SUPERMERCADOS SORRISO</t>
  </si>
  <si>
    <t>Av. Belo Horizonte</t>
  </si>
  <si>
    <t>DelMoro Supermercados - Sorriso</t>
  </si>
  <si>
    <t>78896-099</t>
  </si>
  <si>
    <t>Centro Sul</t>
  </si>
  <si>
    <t xml:space="preserve">Sorriso </t>
  </si>
  <si>
    <t>-12.544343733421679</t>
  </si>
  <si>
    <t>SMART ASSAI ATACADISTA JARAGUA TAIPAS</t>
  </si>
  <si>
    <t>Assaí Jaraguá/Taipas</t>
  </si>
  <si>
    <t>02983-055</t>
  </si>
  <si>
    <t>Jardim Lider</t>
  </si>
  <si>
    <t>-23.44892125169365</t>
  </si>
  <si>
    <t>SMART ACESSO NORTE SALVADOR</t>
  </si>
  <si>
    <t>Acesso Norte</t>
  </si>
  <si>
    <t>-12.968622158636798</t>
  </si>
  <si>
    <t>SMART V3 SHOP AFOGADOS</t>
  </si>
  <si>
    <t>R. São Miguel</t>
  </si>
  <si>
    <t>50850-275</t>
  </si>
  <si>
    <t>Afogados</t>
  </si>
  <si>
    <t>-8.079502347388182</t>
  </si>
  <si>
    <t xml:space="preserve"> SMART MARY DOTA BAURU</t>
  </si>
  <si>
    <t>R. José Ambrósio</t>
  </si>
  <si>
    <t>4-4 - Nucleo Hab.</t>
  </si>
  <si>
    <t>17026-780</t>
  </si>
  <si>
    <t>Núcleo Habitacional Mary Dota</t>
  </si>
  <si>
    <t>-22.293478210886946</t>
  </si>
  <si>
    <t>LOJA TOUTI BOM JESUS</t>
  </si>
  <si>
    <t>Av. Raimundo Jose Rocha</t>
  </si>
  <si>
    <t>64900-000</t>
  </si>
  <si>
    <t xml:space="preserve">CENTRO  </t>
  </si>
  <si>
    <t>Centro Bom Jesus</t>
  </si>
  <si>
    <t>-9.0715359152623</t>
  </si>
  <si>
    <t>FULL SHOPPING PLAZA NITEROI</t>
  </si>
  <si>
    <t>Rua Quinze de Novembro</t>
  </si>
  <si>
    <t>24020-125</t>
  </si>
  <si>
    <t xml:space="preserve">Niterói </t>
  </si>
  <si>
    <t>-22.896567437148857</t>
  </si>
  <si>
    <t>FULL TOUTI JARAGUÁ DO SUL</t>
  </si>
  <si>
    <t>Jaraguá do Sul Park Shopping</t>
  </si>
  <si>
    <t xml:space="preserve">89251-970 </t>
  </si>
  <si>
    <t>Jaraguá do Sul</t>
  </si>
  <si>
    <t>-26.479895232865594</t>
  </si>
  <si>
    <t>SMART SUPERMERCADO SÃO JUDAS TADEU</t>
  </si>
  <si>
    <t>KM 377 SP-270</t>
  </si>
  <si>
    <t>19915-022</t>
  </si>
  <si>
    <t>Vila California</t>
  </si>
  <si>
    <t xml:space="preserve">Ourinhos </t>
  </si>
  <si>
    <t>-23.086127086608784</t>
  </si>
  <si>
    <t xml:space="preserve"> SMART CENTRO RERIUTABA</t>
  </si>
  <si>
    <t>R. Vinte e Cinco de Setembro</t>
  </si>
  <si>
    <t xml:space="preserve">62260-000 </t>
  </si>
  <si>
    <t>Reriutaba</t>
  </si>
  <si>
    <t>-4.136245037095162</t>
  </si>
  <si>
    <t>SMART ASSAI ATACADISTA JARDIM SÃO LUIS</t>
  </si>
  <si>
    <t>Av. Guido Caloi</t>
  </si>
  <si>
    <t>05802-140</t>
  </si>
  <si>
    <t>Jardim São Luís</t>
  </si>
  <si>
    <t>-23.646062081219743</t>
  </si>
  <si>
    <t>SMART MAX ATACAREJO SANTALUZ</t>
  </si>
  <si>
    <t>Rua Ítalo Antônio de Jesus Almeida</t>
  </si>
  <si>
    <t>MAX ATACAREJO</t>
  </si>
  <si>
    <t>48880-000</t>
  </si>
  <si>
    <t xml:space="preserve">Santaluz </t>
  </si>
  <si>
    <t>-11.253855207668733</t>
  </si>
  <si>
    <t>SMART CENTRO SÃO JOÃO DO PARAISO</t>
  </si>
  <si>
    <t>45870-000</t>
  </si>
  <si>
    <t>São João do Paraíso</t>
  </si>
  <si>
    <t xml:space="preserve">Mascote </t>
  </si>
  <si>
    <t>-15.613956275454713</t>
  </si>
  <si>
    <t>FULL TOUTI SHOPPING VENTURA</t>
  </si>
  <si>
    <t>R. Itacolomi</t>
  </si>
  <si>
    <t>81070-150</t>
  </si>
  <si>
    <t>-25.478352177937</t>
  </si>
  <si>
    <t xml:space="preserve"> S/N</t>
  </si>
  <si>
    <t>-22.966137224003365</t>
  </si>
  <si>
    <t>SMART V3 CENTRO COELHO NETO</t>
  </si>
  <si>
    <t>Praça Duque Bacelar</t>
  </si>
  <si>
    <t>65620-000</t>
  </si>
  <si>
    <t>Coelho Neto</t>
  </si>
  <si>
    <t>-4.256829361523163</t>
  </si>
  <si>
    <t>SMART SUPEMERCADO BH UBERABA</t>
  </si>
  <si>
    <t>R. Cel. Cacildo Arantes</t>
  </si>
  <si>
    <t>38055-020</t>
  </si>
  <si>
    <t>Parque Hileia</t>
  </si>
  <si>
    <t xml:space="preserve">Uberaba </t>
  </si>
  <si>
    <t>-19.756954690014464</t>
  </si>
  <si>
    <t xml:space="preserve">SMART ASSAI ATACADISTA TERMINAL BANDEIRA </t>
  </si>
  <si>
    <t>Av. Milão</t>
  </si>
  <si>
    <t>s/n</t>
  </si>
  <si>
    <t>Assaí Atacadista: próximo ao Terminal Bandeira</t>
  </si>
  <si>
    <t>74325-030</t>
  </si>
  <si>
    <t>Jardim Europa</t>
  </si>
  <si>
    <t>-16.709364594273687</t>
  </si>
  <si>
    <t>SMART SUPERMERCADO BAHAMAS ITUIUTABA</t>
  </si>
  <si>
    <t>Av. Napoleão Faissol</t>
  </si>
  <si>
    <t>38307-120</t>
  </si>
  <si>
    <t>Alvorada</t>
  </si>
  <si>
    <t xml:space="preserve">Ituiutaba </t>
  </si>
  <si>
    <t>-18.96755687726345</t>
  </si>
  <si>
    <t>FULL TOUTI SHOPPING CIDADE</t>
  </si>
  <si>
    <t xml:space="preserve"> Av. Mal. Floriano Peixoto</t>
  </si>
  <si>
    <t>81630-000</t>
  </si>
  <si>
    <t>-25.472198766785816</t>
  </si>
  <si>
    <t>FULL TOUTI SHOPPING METRO TUCURUVI</t>
  </si>
  <si>
    <t>R. Paulo de Faria</t>
  </si>
  <si>
    <t>133-167</t>
  </si>
  <si>
    <t>02307-120</t>
  </si>
  <si>
    <t>Tucuruvi</t>
  </si>
  <si>
    <t>-23.48008693229112</t>
  </si>
  <si>
    <t>SMART CENTRO BREJO SANTO</t>
  </si>
  <si>
    <t>R. José Matias Sampaio</t>
  </si>
  <si>
    <t>63260-000</t>
  </si>
  <si>
    <t>Brejo Santo</t>
  </si>
  <si>
    <t>-7.494209574831806</t>
  </si>
  <si>
    <t>SMART NOVO ATACAREJO VARZEA</t>
  </si>
  <si>
    <t>Av. Afonso Olindense</t>
  </si>
  <si>
    <t>50810-000</t>
  </si>
  <si>
    <t xml:space="preserve">Recife </t>
  </si>
  <si>
    <t>-8.035763642008307</t>
  </si>
  <si>
    <t>SMART ATACADÃO FLAMBOYANT GOIANIA</t>
  </si>
  <si>
    <t>Av. Dep. Jamel Cecílio</t>
  </si>
  <si>
    <t>qc, 29 - lt 02</t>
  </si>
  <si>
    <t>74810-100</t>
  </si>
  <si>
    <t>Jardim Goiás</t>
  </si>
  <si>
    <t>-16.707717800454684</t>
  </si>
  <si>
    <t>-49.232801004297016</t>
  </si>
  <si>
    <t>SMART CENTRO JIQUIRIÇÁ </t>
  </si>
  <si>
    <t>Pça. Dom Florêncio</t>
  </si>
  <si>
    <t>Pça. Dom Florêncio, Jiquiriçá</t>
  </si>
  <si>
    <t>45470-000</t>
  </si>
  <si>
    <t>JIQUIRICA</t>
  </si>
  <si>
    <t>-13.258521187071658</t>
  </si>
  <si>
    <t>-39.568177548963284</t>
  </si>
  <si>
    <t>FULL SHOPPING NOVA AMÉRICA</t>
  </si>
  <si>
    <t>Av. Pastor Martin Luther King Jr.</t>
  </si>
  <si>
    <t>QUIOSQUE QT43 Shopping Nova América</t>
  </si>
  <si>
    <t>20765-000</t>
  </si>
  <si>
    <t>-22.87970215967567</t>
  </si>
  <si>
    <t>-43.2697401085429</t>
  </si>
  <si>
    <t>FULL TOUTI NORTE SHOPPING</t>
  </si>
  <si>
    <t>Av. Dom Hélder Câmara</t>
  </si>
  <si>
    <t>Shopping Nort Shopping</t>
  </si>
  <si>
    <t>20771-004</t>
  </si>
  <si>
    <t>-22.885989062560512</t>
  </si>
  <si>
    <t>-43.281709290999814</t>
  </si>
  <si>
    <t>FULL TOUTI SHOPPING CAXIAS</t>
  </si>
  <si>
    <t>Rod. Washington Luiz</t>
  </si>
  <si>
    <t>QUIOSQQ L2 25</t>
  </si>
  <si>
    <t>25085-008</t>
  </si>
  <si>
    <t>Parque Duque</t>
  </si>
  <si>
    <t>Duque de Caxias</t>
  </si>
  <si>
    <t>-22.786442492006945</t>
  </si>
  <si>
    <t>-43.28652973518153</t>
  </si>
  <si>
    <t>FULL SHOPPING PARTAGE CAMPOS</t>
  </si>
  <si>
    <t>Avenida - R. Dr. Silvio Bastos Tavares</t>
  </si>
  <si>
    <t>QUIOSQ:01 Shopping partage campos</t>
  </si>
  <si>
    <t>28051-250</t>
  </si>
  <si>
    <t>Parque dos Rodoviários</t>
  </si>
  <si>
    <t>Campos dos Goytacazes</t>
  </si>
  <si>
    <t>-21.75447018297496</t>
  </si>
  <si>
    <t>-41.349603045374685</t>
  </si>
  <si>
    <t>FULL TOUTI ITAU POWER 1</t>
  </si>
  <si>
    <t>Av. General David Sarnoff</t>
  </si>
  <si>
    <t>QUIOSQ 116  - itau power Shopping</t>
  </si>
  <si>
    <t>32210-110</t>
  </si>
  <si>
    <t>Cidade Industrial</t>
  </si>
  <si>
    <t>-19.946062137565818</t>
  </si>
  <si>
    <t>-44.02291770671852</t>
  </si>
  <si>
    <t>SMART QUEIMADA NOVA</t>
  </si>
  <si>
    <t>Av. Egídio Coelho</t>
  </si>
  <si>
    <t>64758-000</t>
  </si>
  <si>
    <t>CENTRO - QUEIMADA NOVA</t>
  </si>
  <si>
    <t>Queimada Nova</t>
  </si>
  <si>
    <t>-8.579778315210515</t>
  </si>
  <si>
    <t>-41.41783212484018</t>
  </si>
  <si>
    <t>FULL TOUTI BAURU SHOP</t>
  </si>
  <si>
    <t xml:space="preserve">R HENRIQUE SAVI 1555 VILA NOVA CIDADE UNIVERSITARIA </t>
  </si>
  <si>
    <t xml:space="preserve">15 - 55 </t>
  </si>
  <si>
    <t>Bauru Shopping</t>
  </si>
  <si>
    <t>17011-900</t>
  </si>
  <si>
    <t>Vila Nova Cidade Universitaria</t>
  </si>
  <si>
    <t>-22.34183597488474</t>
  </si>
  <si>
    <t>-49.049847419855446</t>
  </si>
  <si>
    <t>SMART VITORIA DA CONQUISTA</t>
  </si>
  <si>
    <t>AV ANEL DE CONTORNO </t>
  </si>
  <si>
    <t>BR 116 KM 839 em frente ao posto , atacadão P. Duarte</t>
  </si>
  <si>
    <t>45045-970</t>
  </si>
  <si>
    <t>Vitória da Conquista</t>
  </si>
  <si>
    <t>-14.897861567331368</t>
  </si>
  <si>
    <t>-40.865368818237584</t>
  </si>
  <si>
    <t>SMART V3 METRÔ LARGO DO MACHADO</t>
  </si>
  <si>
    <t>Estação Largo do Machado</t>
  </si>
  <si>
    <t>QSQ LMC VM MU 02 ESTACAO METRO LARGO DO MACHADO</t>
  </si>
  <si>
    <t>22220-001</t>
  </si>
  <si>
    <t>Catete</t>
  </si>
  <si>
    <t>-22.931156302752562</t>
  </si>
  <si>
    <t>-43.17799117750505</t>
  </si>
  <si>
    <t>SMART TOUTI MEGA MODA GOIANIA</t>
  </si>
  <si>
    <t>Av. Contorno - St. Nova Vila</t>
  </si>
  <si>
    <t>R 67B, 165</t>
  </si>
  <si>
    <t>QUADRA141-B LOTE 68/86 ACESSO 10 EDIF SHOPPING MEGA MODA</t>
  </si>
  <si>
    <t>74063-340</t>
  </si>
  <si>
    <t>St. Nova Vila</t>
  </si>
  <si>
    <t>-16.659933173104015</t>
  </si>
  <si>
    <t>-49.255848289397704</t>
  </si>
  <si>
    <t>SMART SUPERMERCADO OSTERNACK PALMEIRA</t>
  </si>
  <si>
    <t>R. Conceição</t>
  </si>
  <si>
    <t>Supermercado Osternack</t>
  </si>
  <si>
    <t>84130-000</t>
  </si>
  <si>
    <t>Palmeira</t>
  </si>
  <si>
    <t>-25.094520519720295</t>
  </si>
  <si>
    <t>-50.1520826774219</t>
  </si>
  <si>
    <t>SMART CENTRO RIACHO DE SANTANA</t>
  </si>
  <si>
    <t xml:space="preserve"> Rua José Raimundo e Silva Bairro Mato Verde </t>
  </si>
  <si>
    <t>Mercado Confiança</t>
  </si>
  <si>
    <t>46.470-000</t>
  </si>
  <si>
    <t>Mato Verde</t>
  </si>
  <si>
    <t xml:space="preserve">Riacho de Santana </t>
  </si>
  <si>
    <t>-13.61097250487762</t>
  </si>
  <si>
    <t>-42.943780022660306</t>
  </si>
  <si>
    <t>LOJA CENTRO ESCADA</t>
  </si>
  <si>
    <t>R. João Manoel Pontual</t>
  </si>
  <si>
    <t>55.500-000</t>
  </si>
  <si>
    <t>ESCADA</t>
  </si>
  <si>
    <t>-8.36395777083123</t>
  </si>
  <si>
    <t>-35.23435200488354</t>
  </si>
  <si>
    <t>FULL TOUTI ITAU POWER 2</t>
  </si>
  <si>
    <t>QUIOSQQ144 </t>
  </si>
  <si>
    <t xml:space="preserve">32.210-110 </t>
  </si>
  <si>
    <t xml:space="preserve">INDUSTRIAL </t>
  </si>
  <si>
    <t>CONTAGEM</t>
  </si>
  <si>
    <t>-19.946654177164955</t>
  </si>
  <si>
    <t>-44.02244517576011</t>
  </si>
  <si>
    <t>FULL TOUTI SHOPPING ESTAÇÃO BH</t>
  </si>
  <si>
    <t>Av. Cristiano Machado,</t>
  </si>
  <si>
    <t>QUIOSQL0 TOUT  - Shopping estação BH</t>
  </si>
  <si>
    <t>31744-007</t>
  </si>
  <si>
    <t>-19.82036037591201</t>
  </si>
  <si>
    <t>-43.946859718092945</t>
  </si>
  <si>
    <t>SMART CENTRO PARAISOPOLIS</t>
  </si>
  <si>
    <t>R. Rudolf Lotze</t>
  </si>
  <si>
    <t>R NOSSA SENHORA DO BOM CONSELHO</t>
  </si>
  <si>
    <t>05663-000</t>
  </si>
  <si>
    <t>-23.614481227301102</t>
  </si>
  <si>
    <t>-46.72412014864388</t>
  </si>
  <si>
    <t>SMART ATACADÃO CENTRO CAMAÇARI</t>
  </si>
  <si>
    <t>Av. Dep. Luís Eduardo Magalhães</t>
  </si>
  <si>
    <t>42800-071</t>
  </si>
  <si>
    <t>-12.703610918753126</t>
  </si>
  <si>
    <t>-38.32199744775834</t>
  </si>
  <si>
    <t>SMART SHOPP COPACABANA CRUZEIRO DO SUL</t>
  </si>
  <si>
    <t>AV BOULEVARD THAUMATURGO</t>
  </si>
  <si>
    <t>Copacabana Shopping</t>
  </si>
  <si>
    <t>69980-000 </t>
  </si>
  <si>
    <t>Colegio</t>
  </si>
  <si>
    <t>Cruzeiro do Sul</t>
  </si>
  <si>
    <t>AC</t>
  </si>
  <si>
    <t>-7.630721748256618</t>
  </si>
  <si>
    <t>-72.67258917790899</t>
  </si>
  <si>
    <t>SMART DINIZ SUPERMERCADO BARBALHA</t>
  </si>
  <si>
    <t>RUA MIGUEL DE FREITAS ANDRADE</t>
  </si>
  <si>
    <t xml:space="preserve">DINIZ SUPERMERCADOS ECONÔMICO: </t>
  </si>
  <si>
    <t>SANTO ANTONIO BARBALHA</t>
  </si>
  <si>
    <t>JUAZEIRO DO NORTE</t>
  </si>
  <si>
    <t>63180000</t>
  </si>
  <si>
    <t>-7.317526397829788</t>
  </si>
  <si>
    <t>-39.3002565490782</t>
  </si>
  <si>
    <t>FULL SHOPPING CAMPINAS</t>
  </si>
  <si>
    <t>R. Jacy Teixeira de Camargo</t>
  </si>
  <si>
    <t xml:space="preserve">Campinas Shopping: </t>
  </si>
  <si>
    <t>13050-913</t>
  </si>
  <si>
    <t>Jardim do Lago</t>
  </si>
  <si>
    <t>-22.93161930130622</t>
  </si>
  <si>
    <t>SMART FAVORITO AYRTON SENNA</t>
  </si>
  <si>
    <t>Av. Ayrton Senna</t>
  </si>
  <si>
    <t>Supermercado favorito</t>
  </si>
  <si>
    <t>59086-100</t>
  </si>
  <si>
    <t>Neópolis</t>
  </si>
  <si>
    <t>CAPIM MACIO </t>
  </si>
  <si>
    <t>-5.877876580119602</t>
  </si>
  <si>
    <t>-35.20112318957751</t>
  </si>
  <si>
    <t>MINI FULL TOUTI PARTAGE SHOP SÃO GONÇALO</t>
  </si>
  <si>
    <t>Av. Pres. Kennedy,</t>
  </si>
  <si>
    <t xml:space="preserve">Partage Shopping </t>
  </si>
  <si>
    <t>24445-000</t>
  </si>
  <si>
    <t>SÃO GONÇALO</t>
  </si>
  <si>
    <t>-22.82083169932755</t>
  </si>
  <si>
    <t>-43.04632843333094</t>
  </si>
  <si>
    <t>LOJA TOUTI CENTRO PIANCO</t>
  </si>
  <si>
    <t xml:space="preserve">LOGRADOURO PC SALVIANO LEITE </t>
  </si>
  <si>
    <t>Praça Salviano Leite</t>
  </si>
  <si>
    <t>centro</t>
  </si>
  <si>
    <t>Piancó</t>
  </si>
  <si>
    <t>58765000</t>
  </si>
  <si>
    <t>-7.198277884409847</t>
  </si>
  <si>
    <t>-37.928410920244225</t>
  </si>
  <si>
    <t>SMART SHOPPING NORTE SUL</t>
  </si>
  <si>
    <t>Av. José Maria Vivacqua Santos</t>
  </si>
  <si>
    <t>Shopping Norte Su</t>
  </si>
  <si>
    <t>29090-160</t>
  </si>
  <si>
    <t>Jardim Camburi</t>
  </si>
  <si>
    <t>-20.250986102970042</t>
  </si>
  <si>
    <t>-40.27225351992816</t>
  </si>
  <si>
    <t>FULL TOUTI CATARATAS JL SHOPPING </t>
  </si>
  <si>
    <t> Cataratas JL Shopping: Av. Costa e Silva</t>
  </si>
  <si>
    <t>Cataratas JL Shopping</t>
  </si>
  <si>
    <t>85863-000</t>
  </si>
  <si>
    <t>Parque Pres</t>
  </si>
  <si>
    <t>Foz do Iguaçu</t>
  </si>
  <si>
    <t>-25.532513737361697</t>
  </si>
  <si>
    <t>-54.5755859332261</t>
  </si>
  <si>
    <t>SMART CENTRO MORRINHOS</t>
  </si>
  <si>
    <t>Av. Sen. Hermenegildo de Morais</t>
  </si>
  <si>
    <t>75650-000</t>
  </si>
  <si>
    <t>Morrinhos</t>
  </si>
  <si>
    <t>-17.733887983963463</t>
  </si>
  <si>
    <t>-49.10785230281595</t>
  </si>
  <si>
    <t>SMART NOVO ATACAREJO OLINDA</t>
  </si>
  <si>
    <t>AVENIDA DOUTOR JOAQUIM NABUCO</t>
  </si>
  <si>
    <t>Novo atacarejo olinda</t>
  </si>
  <si>
    <t>53020-560</t>
  </si>
  <si>
    <t>Varadouro</t>
  </si>
  <si>
    <t>-7.989004973179358</t>
  </si>
  <si>
    <t>-34.855135789546985</t>
  </si>
  <si>
    <t>SMART NOVO ATACAREJO MURIBECA</t>
  </si>
  <si>
    <t xml:space="preserve">ROD BR 101 SUL, KM 80 45 </t>
  </si>
  <si>
    <t>Nova atacarejo muribeca</t>
  </si>
  <si>
    <t>54325-650</t>
  </si>
  <si>
    <t>Guararapes</t>
  </si>
  <si>
    <t>Jaboatão dos Guararapes</t>
  </si>
  <si>
    <t>-8.15773016619707</t>
  </si>
  <si>
    <t>SMART QUEIROZ MONTEIRO</t>
  </si>
  <si>
    <t>AV CIDADE DO RECIFE</t>
  </si>
  <si>
    <t>BR-110, 757, Monteiro - PB, 58500-000</t>
  </si>
  <si>
    <t>58500-000</t>
  </si>
  <si>
    <t>Monteiro</t>
  </si>
  <si>
    <t>-7.897523042341536</t>
  </si>
  <si>
    <t>-37.116759391397935</t>
  </si>
  <si>
    <t>SMART TERMINAL RODOVIARIO CARAPICUIBA</t>
  </si>
  <si>
    <t>Av. Gov. Mario Covas</t>
  </si>
  <si>
    <t>06310-240</t>
  </si>
  <si>
    <t>Jardim Pignatary</t>
  </si>
  <si>
    <t>Carapicuíba</t>
  </si>
  <si>
    <t>-23.51974840373392</t>
  </si>
  <si>
    <t>-46.83549517545304</t>
  </si>
  <si>
    <t>SMART  CARREFOUR SÃO JOSÉ DOS CAMPOS</t>
  </si>
  <si>
    <t>Av. Dep. Benedito Matarazzo</t>
  </si>
  <si>
    <t>Jardim Serimbura</t>
  </si>
  <si>
    <t>São José dos Campos</t>
  </si>
  <si>
    <t>-23.22261761091795</t>
  </si>
  <si>
    <t>-45.906438452003506</t>
  </si>
  <si>
    <t>SMART ATACADÃO NATAL PRUDENTE DE MORAIS</t>
  </si>
  <si>
    <t>Av. Prudente de Morais</t>
  </si>
  <si>
    <t xml:space="preserve">Atacadão - Natal </t>
  </si>
  <si>
    <t>59056-900</t>
  </si>
  <si>
    <t>Lagoa Nova</t>
  </si>
  <si>
    <t>-5.814551216016315</t>
  </si>
  <si>
    <t>-35.21153044697777</t>
  </si>
  <si>
    <t>SMART CENTRO CURVELO</t>
  </si>
  <si>
    <t>PC BENEDITO VALADARES</t>
  </si>
  <si>
    <t>35.790-207</t>
  </si>
  <si>
    <t>CENTRO CURVELO</t>
  </si>
  <si>
    <t>-18.74485767059485</t>
  </si>
  <si>
    <t>-44.463376678750436</t>
  </si>
  <si>
    <t>SMART ATACADÃO RONDONOPOLIS</t>
  </si>
  <si>
    <t>Av. Bandeirantes</t>
  </si>
  <si>
    <t>Atacadão - Av. Bandeirantes</t>
  </si>
  <si>
    <t>78700-220</t>
  </si>
  <si>
    <t>-16.465159128892907</t>
  </si>
  <si>
    <t>-54.62973075033013</t>
  </si>
  <si>
    <t>SMART ASSAI ATACADISTA RAUL LOPES</t>
  </si>
  <si>
    <t>Av. Raul Lopes</t>
  </si>
  <si>
    <t>64049-560</t>
  </si>
  <si>
    <t>Ininga</t>
  </si>
  <si>
    <t>-5.059861054419699</t>
  </si>
  <si>
    <t>-42.80590145862513</t>
  </si>
  <si>
    <t>SMART MERCADÃO DA ECONOMIA CATALÃO</t>
  </si>
  <si>
    <t>avenida Raulina Fonseca Paschoal</t>
  </si>
  <si>
    <t>75712-015</t>
  </si>
  <si>
    <t>catalão</t>
  </si>
  <si>
    <t>-18.168890292534815</t>
  </si>
  <si>
    <t>-47.9536853890993</t>
  </si>
  <si>
    <t>SMART TERMINAL RODOVIARIO DE BELEM</t>
  </si>
  <si>
    <t>Terminal Rodoviário de Belém</t>
  </si>
  <si>
    <t>66090-000</t>
  </si>
  <si>
    <t>São Brás</t>
  </si>
  <si>
    <t>-1.448795743668446</t>
  </si>
  <si>
    <t>-48.46624312583609</t>
  </si>
  <si>
    <t>SMART MIX MATEUS MAGUARI</t>
  </si>
  <si>
    <t>Estr. do Maguari</t>
  </si>
  <si>
    <t>Mix Mateus Maguari</t>
  </si>
  <si>
    <t>67145-200</t>
  </si>
  <si>
    <t>Maguari</t>
  </si>
  <si>
    <t>-1.3469145847030366</t>
  </si>
  <si>
    <t>-48.385784204672085</t>
  </si>
  <si>
    <t>SMART CARREFOUR RECIFE TORRE</t>
  </si>
  <si>
    <t>R. José Bonifácio</t>
  </si>
  <si>
    <t>Carrefour Hipermercado Recife Torre</t>
  </si>
  <si>
    <t>50710-000</t>
  </si>
  <si>
    <t>PINA</t>
  </si>
  <si>
    <t>-8.040040277749343</t>
  </si>
  <si>
    <t>-34.90993823161271</t>
  </si>
  <si>
    <t>SMART V3 CENTRO SÃO MIGUEL DOS CAMPOS </t>
  </si>
  <si>
    <t>LT HELIO JATOBA II</t>
  </si>
  <si>
    <t>QD Y, HELIO JATOBA</t>
  </si>
  <si>
    <t>57246-055</t>
  </si>
  <si>
    <t>HELIO JATOBÁ</t>
  </si>
  <si>
    <t>SAO MIGUEL DOS CAMPOS</t>
  </si>
  <si>
    <t>-9.799589761369035</t>
  </si>
  <si>
    <t>-36.1051995622774</t>
  </si>
  <si>
    <t>SMART CENTRO VILA VELHA</t>
  </si>
  <si>
    <t> R. Aurora</t>
  </si>
  <si>
    <t>29122-280</t>
  </si>
  <si>
    <t>-20.33865954201095</t>
  </si>
  <si>
    <t>-40.305641075549076</t>
  </si>
  <si>
    <t>SMART TOUTI ASSAI ATACADISTA AV BRASIL VASCO DA GAMA</t>
  </si>
  <si>
    <t>20930-041</t>
  </si>
  <si>
    <t>Vasco da Gama</t>
  </si>
  <si>
    <t>-22.88627819448223</t>
  </si>
  <si>
    <t>-43.22856220430909</t>
  </si>
  <si>
    <t>SMART CENTRO PAULISTANA</t>
  </si>
  <si>
    <t> Av. Mal. Deodoro</t>
  </si>
  <si>
    <t>64750-000</t>
  </si>
  <si>
    <t>Lagoa</t>
  </si>
  <si>
    <t>Paulistana</t>
  </si>
  <si>
    <t>-8.13480336995548</t>
  </si>
  <si>
    <t>-41.14313797579088</t>
  </si>
  <si>
    <t>SMART V3 ASSAÍ JOAQUIM TEOTONIO SEGURADO</t>
  </si>
  <si>
    <t>Av. Joaquim Teotônio Segurado</t>
  </si>
  <si>
    <t>Q. 1502</t>
  </si>
  <si>
    <t>Assai</t>
  </si>
  <si>
    <t>77061-900</t>
  </si>
  <si>
    <t>-10.273549153405478</t>
  </si>
  <si>
    <t>-48.331350906450076</t>
  </si>
  <si>
    <t>MINI FULL VIA VERDE SHOPPING</t>
  </si>
  <si>
    <t>Estr. da Floresta</t>
  </si>
  <si>
    <t>Via Verde Shopping</t>
  </si>
  <si>
    <t>69912-900</t>
  </si>
  <si>
    <t>Floresta Sul</t>
  </si>
  <si>
    <t xml:space="preserve">Rio Branco </t>
  </si>
  <si>
    <t>-9.98584496641703</t>
  </si>
  <si>
    <t>-67.8475536352901</t>
  </si>
  <si>
    <t>SMART ATACADÃO SINOP</t>
  </si>
  <si>
    <t>R. João Pedro Moreira de Carvalho</t>
  </si>
  <si>
    <t> Atacadão - Sinop</t>
  </si>
  <si>
    <t>78550-000</t>
  </si>
  <si>
    <t>Jardim Floraes da Amazônia</t>
  </si>
  <si>
    <t>-11.836690874456645</t>
  </si>
  <si>
    <t>-55.488025948754185</t>
  </si>
  <si>
    <t>SMART ATACADÃO PARQUE UNIVERSITÁRIO</t>
  </si>
  <si>
    <t>Av. das Jaçanã</t>
  </si>
  <si>
    <t>78745-160</t>
  </si>
  <si>
    <t>-16.453840463352762</t>
  </si>
  <si>
    <t>-54.66389477564806</t>
  </si>
  <si>
    <t>SMART PATIO SHOPPING DO CENTRO</t>
  </si>
  <si>
    <t>R CAFUNDO</t>
  </si>
  <si>
    <t>Q 57, LT 9</t>
  </si>
  <si>
    <t>Jardim Santa Emília</t>
  </si>
  <si>
    <t>79093141</t>
  </si>
  <si>
    <t>-20.50141914991366</t>
  </si>
  <si>
    <t>-54.67964643321603</t>
  </si>
  <si>
    <t>SMART R CARVALHO PLANALTO URUGUAI </t>
  </si>
  <si>
    <t>R Carvalho Planalto Uruguai</t>
  </si>
  <si>
    <t>Av. Zequinha Freire</t>
  </si>
  <si>
    <t>64058-730</t>
  </si>
  <si>
    <t>Santa Lia</t>
  </si>
  <si>
    <t>-5.056366692027782</t>
  </si>
  <si>
    <t>-42.74927471999868</t>
  </si>
  <si>
    <t>LOJA CENTRO LAVRAS</t>
  </si>
  <si>
    <t>R. Dr. Francisco Sales</t>
  </si>
  <si>
    <t xml:space="preserve">Loja 1 </t>
  </si>
  <si>
    <t>37200-000</t>
  </si>
  <si>
    <t>Padre Dehon</t>
  </si>
  <si>
    <t>Lavras</t>
  </si>
  <si>
    <t>-21.247229494811958</t>
  </si>
  <si>
    <t>-45.00164788901559</t>
  </si>
  <si>
    <t>SMART ASSAÍ VALPARAÍSO</t>
  </si>
  <si>
    <t>RUA da BR-040,</t>
  </si>
  <si>
    <t>ASSAÍ ATACADÃO</t>
  </si>
  <si>
    <t>72870-001</t>
  </si>
  <si>
    <t>Parque Rio Branco</t>
  </si>
  <si>
    <t>Valparaíso de Goiás</t>
  </si>
  <si>
    <t>-16.07950760260204</t>
  </si>
  <si>
    <t>-47.9876418468206</t>
  </si>
  <si>
    <t>FULL JATAYH SHOPPING</t>
  </si>
  <si>
    <t>Av. Pres. Tancredo Neves</t>
  </si>
  <si>
    <t xml:space="preserve">St. Epaminondas II </t>
  </si>
  <si>
    <t>75805-123</t>
  </si>
  <si>
    <t xml:space="preserve"> Jataí</t>
  </si>
  <si>
    <t>PARQUE SOLAR DO AGRESTE</t>
  </si>
  <si>
    <t>-17.872050049970593</t>
  </si>
  <si>
    <t>-51.73081489280843</t>
  </si>
  <si>
    <t>SMART SALOMÉ ARAPUTANGA</t>
  </si>
  <si>
    <t xml:space="preserve">Av Oridia Pimenta </t>
  </si>
  <si>
    <t>Supermercado Salomé</t>
  </si>
  <si>
    <t>78260-000</t>
  </si>
  <si>
    <t>Loteamento Rica</t>
  </si>
  <si>
    <t>Araputanga</t>
  </si>
  <si>
    <t>-15.455097845110128</t>
  </si>
  <si>
    <t>-58.34270100450606</t>
  </si>
  <si>
    <t>SMART CENTRO SANTO ANTONIO DO JACINTO</t>
  </si>
  <si>
    <t>Rua: treze de Janeiro</t>
  </si>
  <si>
    <t>Santo Antônio do Jacinto</t>
  </si>
  <si>
    <t>39935000</t>
  </si>
  <si>
    <t>-16.535559566910628</t>
  </si>
  <si>
    <t>-40.174934017974465</t>
  </si>
  <si>
    <t>MINI FULL TOUTI CARPINA</t>
  </si>
  <si>
    <t>Av. Padre Rocha</t>
  </si>
  <si>
    <t>LOJA NOVO ATACAREJO</t>
  </si>
  <si>
    <t>55815-140</t>
  </si>
  <si>
    <t>Carpina</t>
  </si>
  <si>
    <t>SMART SUPERMERCADO TABAJARA SOLEDADE</t>
  </si>
  <si>
    <t xml:space="preserve">Rua José Oliveira da Conceição </t>
  </si>
  <si>
    <t xml:space="preserve">SUPERMERCADO TABAJARA </t>
  </si>
  <si>
    <t>49070-063</t>
  </si>
  <si>
    <t>Soledade</t>
  </si>
  <si>
    <t>SMART CENTRO TRAIPU</t>
  </si>
  <si>
    <t>RUA VEREADOR JOÃO CAVALCANTE</t>
  </si>
  <si>
    <t>57370-000</t>
  </si>
  <si>
    <t>TRAIPU</t>
  </si>
  <si>
    <t>-9.965911219024692</t>
  </si>
  <si>
    <t>-37.002493964126195</t>
  </si>
  <si>
    <t>SMART MATEUS MAIOBÃO</t>
  </si>
  <si>
    <t>ESTRADA DE RIBAMAR</t>
  </si>
  <si>
    <t>sem cep</t>
  </si>
  <si>
    <t>VILA TIJUPA QUEIMADO</t>
  </si>
  <si>
    <t>SÃO JOSÉ DE RIBAMAR</t>
  </si>
  <si>
    <t>-2.5513755970386605</t>
  </si>
  <si>
    <t>-44.1584545200122</t>
  </si>
  <si>
    <t>SMART CENTRO SUMÉ</t>
  </si>
  <si>
    <t>Av Prineiro de Abril</t>
  </si>
  <si>
    <t>MUNICÍPIO SUME</t>
  </si>
  <si>
    <t>Sume</t>
  </si>
  <si>
    <t>58540000</t>
  </si>
  <si>
    <t>-7.673220035346003</t>
  </si>
  <si>
    <t>-36.88056289113938</t>
  </si>
  <si>
    <t>SMART ATACADÃO CAMPINAS</t>
  </si>
  <si>
    <t>Atacadão: Av. Ruy Rodriguez</t>
  </si>
  <si>
    <t>13060-646</t>
  </si>
  <si>
    <t>Jardim Yeda</t>
  </si>
  <si>
    <t>-22.953923475905455</t>
  </si>
  <si>
    <t>-47.11610410430703</t>
  </si>
  <si>
    <t>SMART ATACADAO SIA DF</t>
  </si>
  <si>
    <t>SIA Trecho 14</t>
  </si>
  <si>
    <t>SUPERMERCADO</t>
  </si>
  <si>
    <t>71200-140</t>
  </si>
  <si>
    <t>SIA</t>
  </si>
  <si>
    <t>-15.791128806332129</t>
  </si>
  <si>
    <t>-47.94408870449867</t>
  </si>
  <si>
    <t>FULL TOUTI LIMEIRA SHOPPING</t>
  </si>
  <si>
    <t> Limeira Shopping- Av. Carlos Kuntz Busch</t>
  </si>
  <si>
    <t>Parque Egisto Ragazzo</t>
  </si>
  <si>
    <t>13485-346</t>
  </si>
  <si>
    <t>-22.532963711750693</t>
  </si>
  <si>
    <t>-47.38598863076906</t>
  </si>
  <si>
    <t>FULL TOUTI SHOP ITABORAÍ PLAZA </t>
  </si>
  <si>
    <t>Rod. Governador Mário Covas</t>
  </si>
  <si>
    <t>km295</t>
  </si>
  <si>
    <t>Shopping Itaboraí Plaza</t>
  </si>
  <si>
    <t>24809-234</t>
  </si>
  <si>
    <t>Itaboraí</t>
  </si>
  <si>
    <t>-22.767373750336425</t>
  </si>
  <si>
    <t>-42.9060188466411</t>
  </si>
  <si>
    <t>FULL TOUTI IMPERIAL SHOPPING</t>
  </si>
  <si>
    <t>Marginal BR-010</t>
  </si>
  <si>
    <t xml:space="preserve">Imperial Shopping </t>
  </si>
  <si>
    <t>65913-015</t>
  </si>
  <si>
    <t>-5.528885952794191</t>
  </si>
  <si>
    <t>-47.470446919995275</t>
  </si>
  <si>
    <t>SMART MARECHAL CENTER</t>
  </si>
  <si>
    <t> R. Vicente Celestino</t>
  </si>
  <si>
    <t>Mal. Rondon</t>
  </si>
  <si>
    <t>41280-182</t>
  </si>
  <si>
    <t>Rondon</t>
  </si>
  <si>
    <t>-12.913323737572574</t>
  </si>
  <si>
    <t>-38.466479904556344</t>
  </si>
  <si>
    <t>SMART CENTRO CAMOCIM</t>
  </si>
  <si>
    <t>R. da Independência</t>
  </si>
  <si>
    <t>LOJA CENTRO</t>
  </si>
  <si>
    <t>62400-000</t>
  </si>
  <si>
    <t>Camocim</t>
  </si>
  <si>
    <t>-2.8999927857406824</t>
  </si>
  <si>
    <t>-40.85076414699575</t>
  </si>
  <si>
    <t>SMART CENTRO CANDEIAS BA</t>
  </si>
  <si>
    <t>Av. Antônio Paterson</t>
  </si>
  <si>
    <t>TERREO</t>
  </si>
  <si>
    <t>43815-055</t>
  </si>
  <si>
    <t>Nova Candeias</t>
  </si>
  <si>
    <t>-12.66907009720943</t>
  </si>
  <si>
    <t>-38.53934134688901</t>
  </si>
  <si>
    <t>SMART ATACADÃO SANTAREM</t>
  </si>
  <si>
    <t>Av. Eng. Fernando Guilhon</t>
  </si>
  <si>
    <t> Atacadão - Santarém</t>
  </si>
  <si>
    <t>68035-000</t>
  </si>
  <si>
    <t>-2.4479477785590618</t>
  </si>
  <si>
    <t>54.74926378932564</t>
  </si>
  <si>
    <t>SMART BM SHOPPING CONCEIÇÃO</t>
  </si>
  <si>
    <t>Gov. Wilson Leite Braga</t>
  </si>
  <si>
    <t>BM Shopping</t>
  </si>
  <si>
    <t>58780-000 </t>
  </si>
  <si>
    <t>Conceição</t>
  </si>
  <si>
    <t>-7.559906987646231</t>
  </si>
  <si>
    <t>-38.50246470463317</t>
  </si>
  <si>
    <t>SMART QUARTETTO SUPERMERCADOS PARAISO DO TOCANTINS</t>
  </si>
  <si>
    <t>Quartetto Supermercados</t>
  </si>
  <si>
    <t>77600-000</t>
  </si>
  <si>
    <t>Paraíso do Tocantins</t>
  </si>
  <si>
    <t>-10.175982908453074</t>
  </si>
  <si>
    <t>-48.88490793343635</t>
  </si>
  <si>
    <t>SMART SUPERMERCADO ATACAREJO O HELENO</t>
  </si>
  <si>
    <t>Rua Francisco Sousa</t>
  </si>
  <si>
    <t>Supermercado</t>
  </si>
  <si>
    <t>62430-000</t>
  </si>
  <si>
    <t>Granja</t>
  </si>
  <si>
    <t>-3.1192659898248407</t>
  </si>
  <si>
    <t>-40.83005142000987</t>
  </si>
  <si>
    <t>SMART ECONOMART PORTO SEGURO</t>
  </si>
  <si>
    <t>AV Adno Musser</t>
  </si>
  <si>
    <t xml:space="preserve">Economart Atacadista </t>
  </si>
  <si>
    <t>Porto Seguro</t>
  </si>
  <si>
    <t>-16.437408365130057</t>
  </si>
  <si>
    <t>-39.08172490999041</t>
  </si>
  <si>
    <t>SMART ATACADÃO MARECHAL TITO</t>
  </si>
  <si>
    <t>Avenida Marechal Tito</t>
  </si>
  <si>
    <t>supermercado</t>
  </si>
  <si>
    <t>08022-010</t>
  </si>
  <si>
    <t>São Miguel Paulista</t>
  </si>
  <si>
    <t>-23.493317547166207</t>
  </si>
  <si>
    <t>-46.42145756196154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</si>
</sst>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0.00000000000000"/>
  </numFmts>
  <fonts count="22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10"/>
      <color rgb="FF5F666C"/>
      <name val="Helvetica"/>
      <charset val="1"/>
    </font>
    <font>
      <b/>
      <sz val="10"/>
      <color rgb="FF5F666C"/>
      <name val="Helvetica"/>
      <charset val="1"/>
    </font>
    <font>
      <sz val="10"/>
      <color rgb="FF000000"/>
      <name val="Arial"/>
      <family val="2"/>
    </font>
    <font>
      <sz val="10"/>
      <color rgb="FF5F666C"/>
      <name val="Arial"/>
      <family val="2"/>
    </font>
    <font>
      <sz val="10"/>
      <name val="Arial"/>
      <family val="2"/>
    </font>
    <font>
      <sz val="13.5"/>
      <color rgb="FF5E5E5E"/>
      <name val="Arial"/>
      <family val="2"/>
      <charset val="1"/>
    </font>
    <font>
      <sz val="11"/>
      <color rgb="FF1F1F1F"/>
      <name val="Arial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Helvetica"/>
      <charset val="1"/>
    </font>
    <font>
      <b/>
      <sz val="8"/>
      <color rgb="FF5F666C"/>
      <name val="Arial"/>
      <family val="2"/>
    </font>
    <font>
      <b/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rgb="FF5F666C"/>
      <name val="Arial"/>
      <family val="2"/>
    </font>
    <font>
      <sz val="11"/>
      <color rgb="FF5F666C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3" fillId="0" borderId="0" xfId="0" applyFont="1"/>
    <xf numFmtId="164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165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0" xfId="0" quotePrefix="1" applyFont="1" applyAlignment="1">
      <alignment horizontal="left"/>
    </xf>
    <xf numFmtId="0" fontId="8" fillId="0" borderId="0" xfId="0" applyFont="1"/>
    <xf numFmtId="0" fontId="4" fillId="0" borderId="0" xfId="0" applyFont="1"/>
    <xf numFmtId="0" fontId="9" fillId="0" borderId="0" xfId="0" applyFont="1"/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0" fontId="0" fillId="3" borderId="0" xfId="0" applyFill="1"/>
    <xf numFmtId="0" fontId="3" fillId="3" borderId="0" xfId="0" applyFont="1" applyFill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/>
    </xf>
    <xf numFmtId="0" fontId="12" fillId="0" borderId="0" xfId="0" applyFont="1"/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0" fillId="4" borderId="0" xfId="0" applyFill="1"/>
    <xf numFmtId="0" fontId="13" fillId="0" borderId="0" xfId="0" applyFont="1"/>
    <xf numFmtId="16" fontId="0" fillId="0" borderId="0" xfId="0" applyNumberForma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49" fontId="0" fillId="2" borderId="0" xfId="0" applyNumberFormat="1" applyFill="1" applyAlignment="1">
      <alignment horizontal="left"/>
    </xf>
    <xf numFmtId="0" fontId="20" fillId="0" borderId="0" xfId="0" applyFont="1"/>
    <xf numFmtId="0" fontId="2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3"/>
  <sheetViews>
    <sheetView tabSelected="1" topLeftCell="A978" workbookViewId="0">
      <selection activeCell="A996" sqref="A996"/>
    </sheetView>
  </sheetViews>
  <sheetFormatPr defaultColWidth="9.140625" defaultRowHeight="14.45"/>
  <cols>
    <col min="1" max="1" width="61" style="11" customWidth="1"/>
    <col min="2" max="2" width="25.85546875" style="11" customWidth="1"/>
    <col min="3" max="3" width="11.7109375" style="11" customWidth="1"/>
    <col min="4" max="4" width="6.140625" style="12" bestFit="1" customWidth="1"/>
    <col min="5" max="5" width="6.7109375" style="12" customWidth="1"/>
    <col min="6" max="6" width="8.5703125" style="12" customWidth="1"/>
    <col min="7" max="7" width="55.28515625" style="11" bestFit="1" customWidth="1"/>
    <col min="8" max="8" width="9.140625" style="11"/>
    <col min="9" max="9" width="51.7109375" style="11" bestFit="1" customWidth="1"/>
    <col min="10" max="10" width="11.28515625" style="11" bestFit="1" customWidth="1"/>
    <col min="11" max="11" width="27.28515625" style="11" bestFit="1" customWidth="1"/>
    <col min="12" max="12" width="25.85546875" style="11" bestFit="1" customWidth="1"/>
    <col min="13" max="13" width="9.140625" style="11"/>
    <col min="14" max="14" width="4.42578125" style="12" customWidth="1"/>
    <col min="15" max="15" width="5.28515625" style="12" customWidth="1"/>
    <col min="16" max="16" width="10.7109375" style="13" bestFit="1" customWidth="1"/>
    <col min="17" max="17" width="21.5703125" style="13" bestFit="1" customWidth="1"/>
    <col min="18" max="18" width="23" style="11" customWidth="1"/>
    <col min="19" max="19" width="13.42578125" style="12" customWidth="1"/>
    <col min="20" max="20" width="21.7109375" style="11" bestFit="1" customWidth="1"/>
    <col min="21" max="21" width="20.5703125" style="11" bestFit="1" customWidth="1"/>
  </cols>
  <sheetData>
    <row r="1" spans="1:21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7" t="s">
        <v>17</v>
      </c>
      <c r="S1" s="8" t="s">
        <v>18</v>
      </c>
      <c r="T1" s="10" t="s">
        <v>19</v>
      </c>
      <c r="U1" s="10" t="s">
        <v>20</v>
      </c>
    </row>
    <row r="2" spans="1:21">
      <c r="P2" s="11"/>
    </row>
    <row r="3" spans="1:21">
      <c r="A3" s="11" t="s">
        <v>21</v>
      </c>
      <c r="B3" s="11" t="s">
        <v>22</v>
      </c>
      <c r="C3" s="11">
        <v>32683222000142</v>
      </c>
      <c r="E3" s="12" t="s">
        <v>23</v>
      </c>
      <c r="F3" s="12" t="s">
        <v>24</v>
      </c>
      <c r="G3" s="11" t="s">
        <v>25</v>
      </c>
      <c r="H3" s="11">
        <v>777</v>
      </c>
      <c r="I3" s="11" t="s">
        <v>26</v>
      </c>
      <c r="J3" s="11">
        <v>51020280</v>
      </c>
      <c r="K3" s="11" t="s">
        <v>27</v>
      </c>
      <c r="L3" s="11" t="s">
        <v>28</v>
      </c>
      <c r="M3" s="11" t="s">
        <v>29</v>
      </c>
      <c r="P3" s="11" t="s">
        <v>30</v>
      </c>
      <c r="Q3" s="13" t="s">
        <v>31</v>
      </c>
      <c r="R3" s="11" t="s">
        <v>32</v>
      </c>
      <c r="S3" s="12" t="s">
        <v>33</v>
      </c>
      <c r="T3" s="11" t="str">
        <f t="shared" ref="T3:T65" si="0">SUBSTITUTE(Q:Q,",",".")</f>
        <v>-8.1183886</v>
      </c>
      <c r="U3" s="11" t="str">
        <f t="shared" ref="U3:U65" si="1">SUBSTITUTE(R:R,",",".")</f>
        <v>-34.8990260</v>
      </c>
    </row>
    <row r="4" spans="1:21">
      <c r="A4" s="11" t="s">
        <v>34</v>
      </c>
      <c r="B4" s="11" t="s">
        <v>35</v>
      </c>
      <c r="C4" s="11">
        <v>33205681000183</v>
      </c>
      <c r="E4" s="12" t="s">
        <v>23</v>
      </c>
      <c r="F4" s="12" t="s">
        <v>36</v>
      </c>
      <c r="G4" s="11" t="s">
        <v>37</v>
      </c>
      <c r="H4" s="11">
        <v>59</v>
      </c>
      <c r="I4" s="11" t="s">
        <v>38</v>
      </c>
      <c r="J4" s="11">
        <v>56200000</v>
      </c>
      <c r="K4" s="11" t="s">
        <v>39</v>
      </c>
      <c r="L4" s="11" t="s">
        <v>40</v>
      </c>
      <c r="M4" s="11" t="s">
        <v>29</v>
      </c>
      <c r="P4" s="11" t="s">
        <v>41</v>
      </c>
      <c r="Q4" s="13" t="s">
        <v>42</v>
      </c>
      <c r="R4" s="11" t="s">
        <v>43</v>
      </c>
      <c r="S4" s="12" t="s">
        <v>33</v>
      </c>
      <c r="T4" s="11" t="str">
        <f t="shared" si="0"/>
        <v>-7.8844320</v>
      </c>
      <c r="U4" s="11" t="str">
        <f t="shared" si="1"/>
        <v>-40.0833221</v>
      </c>
    </row>
    <row r="5" spans="1:21">
      <c r="A5" s="11" t="s">
        <v>44</v>
      </c>
      <c r="B5" s="11" t="s">
        <v>45</v>
      </c>
      <c r="C5" s="11">
        <v>33693099000103</v>
      </c>
      <c r="E5" s="12" t="s">
        <v>23</v>
      </c>
      <c r="F5" s="12" t="s">
        <v>46</v>
      </c>
      <c r="G5" s="11" t="s">
        <v>47</v>
      </c>
      <c r="H5" s="11">
        <v>182</v>
      </c>
      <c r="I5" s="11" t="s">
        <v>26</v>
      </c>
      <c r="J5" s="11">
        <v>49010130</v>
      </c>
      <c r="K5" s="11" t="s">
        <v>39</v>
      </c>
      <c r="L5" s="11" t="s">
        <v>48</v>
      </c>
      <c r="M5" s="11" t="s">
        <v>49</v>
      </c>
      <c r="P5" s="11" t="s">
        <v>50</v>
      </c>
      <c r="Q5" s="13" t="s">
        <v>51</v>
      </c>
      <c r="R5" s="11" t="s">
        <v>52</v>
      </c>
      <c r="S5" s="12" t="s">
        <v>33</v>
      </c>
      <c r="T5" s="11" t="str">
        <f t="shared" si="0"/>
        <v>-10.9110732</v>
      </c>
      <c r="U5" s="11" t="str">
        <f t="shared" si="1"/>
        <v>-37.0491948</v>
      </c>
    </row>
    <row r="6" spans="1:21">
      <c r="A6" s="11" t="s">
        <v>53</v>
      </c>
      <c r="B6" s="11" t="s">
        <v>54</v>
      </c>
      <c r="C6" s="11">
        <v>33703574000185</v>
      </c>
      <c r="E6" s="12" t="s">
        <v>23</v>
      </c>
      <c r="F6" s="12" t="s">
        <v>55</v>
      </c>
      <c r="G6" s="11" t="s">
        <v>56</v>
      </c>
      <c r="H6" s="11">
        <v>550</v>
      </c>
      <c r="I6" s="11" t="s">
        <v>57</v>
      </c>
      <c r="J6" s="11">
        <v>56304000</v>
      </c>
      <c r="K6" s="11" t="s">
        <v>39</v>
      </c>
      <c r="L6" s="11" t="s">
        <v>58</v>
      </c>
      <c r="M6" s="11" t="s">
        <v>29</v>
      </c>
      <c r="P6" s="11" t="s">
        <v>59</v>
      </c>
      <c r="Q6" s="13" t="s">
        <v>60</v>
      </c>
      <c r="R6" s="11" t="s">
        <v>61</v>
      </c>
      <c r="S6" s="12" t="s">
        <v>33</v>
      </c>
      <c r="T6" s="11" t="str">
        <f t="shared" si="0"/>
        <v>-9.3948871</v>
      </c>
      <c r="U6" s="11" t="str">
        <f t="shared" si="1"/>
        <v>-40.5024380</v>
      </c>
    </row>
    <row r="7" spans="1:21">
      <c r="A7" s="11" t="s">
        <v>62</v>
      </c>
      <c r="B7" s="11" t="s">
        <v>63</v>
      </c>
      <c r="C7" s="11">
        <v>34220869000163</v>
      </c>
      <c r="E7" s="12" t="s">
        <v>23</v>
      </c>
      <c r="F7" s="12" t="s">
        <v>64</v>
      </c>
      <c r="G7" s="11" t="s">
        <v>65</v>
      </c>
      <c r="H7" s="11">
        <v>334</v>
      </c>
      <c r="I7" s="11" t="s">
        <v>66</v>
      </c>
      <c r="J7" s="11">
        <v>25020140</v>
      </c>
      <c r="K7" s="11" t="s">
        <v>39</v>
      </c>
      <c r="L7" s="11" t="s">
        <v>67</v>
      </c>
      <c r="M7" s="11" t="s">
        <v>68</v>
      </c>
      <c r="P7" s="11" t="s">
        <v>69</v>
      </c>
      <c r="Q7" s="13">
        <v>-22.7882593</v>
      </c>
      <c r="R7" s="11">
        <v>-43.311739199999998</v>
      </c>
      <c r="S7" s="12" t="s">
        <v>70</v>
      </c>
      <c r="T7" s="11" t="str">
        <f t="shared" si="0"/>
        <v>-22.7882593</v>
      </c>
      <c r="U7" s="11" t="str">
        <f t="shared" si="1"/>
        <v>-43.3117392</v>
      </c>
    </row>
    <row r="8" spans="1:21">
      <c r="A8" s="11" t="s">
        <v>71</v>
      </c>
      <c r="B8" s="11" t="s">
        <v>72</v>
      </c>
      <c r="C8" s="11">
        <v>34863330000122</v>
      </c>
      <c r="E8" s="12" t="s">
        <v>23</v>
      </c>
      <c r="F8" s="12" t="s">
        <v>73</v>
      </c>
      <c r="G8" s="11" t="s">
        <v>74</v>
      </c>
      <c r="H8" s="11">
        <v>459</v>
      </c>
      <c r="I8" s="11" t="s">
        <v>75</v>
      </c>
      <c r="J8" s="11">
        <v>5777970</v>
      </c>
      <c r="K8" s="11" t="s">
        <v>76</v>
      </c>
      <c r="L8" s="11" t="s">
        <v>77</v>
      </c>
      <c r="M8" s="11" t="s">
        <v>78</v>
      </c>
      <c r="P8" s="11" t="s">
        <v>79</v>
      </c>
      <c r="Q8" s="13">
        <v>-23.547499999999999</v>
      </c>
      <c r="R8" s="11">
        <v>-46.636110000000002</v>
      </c>
      <c r="S8" s="12" t="s">
        <v>70</v>
      </c>
      <c r="T8" s="11" t="str">
        <f t="shared" si="0"/>
        <v>-23.5475</v>
      </c>
      <c r="U8" s="11" t="str">
        <f t="shared" si="1"/>
        <v>-46.63611</v>
      </c>
    </row>
    <row r="9" spans="1:21">
      <c r="P9" s="11"/>
    </row>
    <row r="10" spans="1:21">
      <c r="A10" s="11" t="s">
        <v>80</v>
      </c>
      <c r="B10" s="11" t="s">
        <v>81</v>
      </c>
      <c r="C10" s="11">
        <v>35473429000180</v>
      </c>
      <c r="E10" s="12" t="s">
        <v>23</v>
      </c>
      <c r="F10" s="12" t="s">
        <v>82</v>
      </c>
      <c r="G10" s="11" t="s">
        <v>83</v>
      </c>
      <c r="H10" s="11">
        <v>126</v>
      </c>
      <c r="I10" s="11" t="s">
        <v>84</v>
      </c>
      <c r="J10" s="11">
        <v>45600015</v>
      </c>
      <c r="K10" s="11" t="s">
        <v>39</v>
      </c>
      <c r="L10" s="11" t="s">
        <v>85</v>
      </c>
      <c r="M10" s="11" t="s">
        <v>86</v>
      </c>
      <c r="P10" s="11" t="s">
        <v>87</v>
      </c>
      <c r="Q10" s="13" t="s">
        <v>88</v>
      </c>
      <c r="R10" s="11" t="s">
        <v>89</v>
      </c>
      <c r="S10" s="12" t="s">
        <v>33</v>
      </c>
      <c r="T10" s="11" t="str">
        <f t="shared" si="0"/>
        <v>-14.7895929</v>
      </c>
      <c r="U10" s="11" t="str">
        <f t="shared" si="1"/>
        <v>-39.2733724</v>
      </c>
    </row>
    <row r="11" spans="1:21">
      <c r="A11" s="11" t="s">
        <v>90</v>
      </c>
      <c r="B11" s="11" t="s">
        <v>91</v>
      </c>
      <c r="C11" s="11">
        <v>34627704000100</v>
      </c>
      <c r="E11" s="12" t="s">
        <v>23</v>
      </c>
      <c r="F11" s="12" t="s">
        <v>92</v>
      </c>
      <c r="G11" s="11" t="s">
        <v>93</v>
      </c>
      <c r="H11" s="11">
        <v>637</v>
      </c>
      <c r="I11" s="11" t="s">
        <v>26</v>
      </c>
      <c r="J11" s="11">
        <v>48410000</v>
      </c>
      <c r="K11" s="11" t="s">
        <v>39</v>
      </c>
      <c r="L11" s="11" t="s">
        <v>94</v>
      </c>
      <c r="M11" s="11" t="s">
        <v>86</v>
      </c>
      <c r="P11" s="11" t="s">
        <v>95</v>
      </c>
      <c r="Q11" s="13" t="s">
        <v>96</v>
      </c>
      <c r="R11" s="11" t="s">
        <v>97</v>
      </c>
      <c r="S11" s="12" t="s">
        <v>33</v>
      </c>
      <c r="T11" s="11" t="str">
        <f t="shared" si="0"/>
        <v>-10.5932265</v>
      </c>
      <c r="U11" s="11" t="str">
        <f t="shared" si="1"/>
        <v>-38.3834411</v>
      </c>
    </row>
    <row r="12" spans="1:21">
      <c r="A12" s="11" t="s">
        <v>98</v>
      </c>
      <c r="B12" s="11" t="s">
        <v>99</v>
      </c>
      <c r="C12" s="11">
        <v>29655522000103</v>
      </c>
      <c r="E12" s="12" t="s">
        <v>23</v>
      </c>
      <c r="F12" s="12" t="s">
        <v>100</v>
      </c>
      <c r="G12" s="11" t="s">
        <v>101</v>
      </c>
      <c r="H12" s="11">
        <v>5890</v>
      </c>
      <c r="I12" s="11" t="s">
        <v>102</v>
      </c>
      <c r="J12" s="11">
        <v>88058001</v>
      </c>
      <c r="K12" s="11" t="s">
        <v>103</v>
      </c>
      <c r="L12" s="11" t="s">
        <v>104</v>
      </c>
      <c r="M12" s="11" t="s">
        <v>105</v>
      </c>
      <c r="P12" s="11" t="s">
        <v>106</v>
      </c>
      <c r="Q12" s="13" t="s">
        <v>107</v>
      </c>
      <c r="R12" s="11" t="s">
        <v>108</v>
      </c>
      <c r="S12" s="12" t="s">
        <v>33</v>
      </c>
      <c r="T12" s="11" t="str">
        <f t="shared" si="0"/>
        <v>-27.4510315</v>
      </c>
      <c r="U12" s="11" t="str">
        <f t="shared" si="1"/>
        <v>-48.4409659</v>
      </c>
    </row>
    <row r="13" spans="1:21">
      <c r="A13" s="11" t="s">
        <v>109</v>
      </c>
      <c r="B13" s="11" t="s">
        <v>110</v>
      </c>
      <c r="C13" s="11">
        <v>36231483000182</v>
      </c>
      <c r="E13" s="12" t="s">
        <v>23</v>
      </c>
      <c r="F13" s="12" t="s">
        <v>111</v>
      </c>
      <c r="G13" s="11" t="s">
        <v>112</v>
      </c>
      <c r="H13" s="11">
        <v>360</v>
      </c>
      <c r="I13" s="11" t="s">
        <v>26</v>
      </c>
      <c r="J13" s="11">
        <v>23815310</v>
      </c>
      <c r="K13" s="11" t="s">
        <v>39</v>
      </c>
      <c r="L13" s="11" t="s">
        <v>113</v>
      </c>
      <c r="M13" s="11" t="s">
        <v>68</v>
      </c>
      <c r="P13" s="11" t="s">
        <v>114</v>
      </c>
      <c r="Q13" s="13" t="s">
        <v>115</v>
      </c>
      <c r="R13" s="11" t="s">
        <v>116</v>
      </c>
      <c r="S13" s="12" t="s">
        <v>33</v>
      </c>
      <c r="T13" s="11" t="str">
        <f t="shared" si="0"/>
        <v>-22.8666358</v>
      </c>
      <c r="U13" s="11" t="str">
        <f t="shared" si="1"/>
        <v>-43.7772378</v>
      </c>
    </row>
    <row r="14" spans="1:21">
      <c r="A14" s="11" t="s">
        <v>117</v>
      </c>
      <c r="B14" s="11" t="s">
        <v>118</v>
      </c>
      <c r="C14" s="11">
        <v>32709022000111</v>
      </c>
      <c r="E14" s="12" t="s">
        <v>23</v>
      </c>
      <c r="F14" s="12" t="s">
        <v>119</v>
      </c>
      <c r="G14" s="11" t="s">
        <v>120</v>
      </c>
      <c r="H14" s="11">
        <v>800</v>
      </c>
      <c r="I14" s="11" t="s">
        <v>26</v>
      </c>
      <c r="J14" s="11">
        <v>54410100</v>
      </c>
      <c r="K14" s="11" t="s">
        <v>121</v>
      </c>
      <c r="L14" s="11" t="s">
        <v>122</v>
      </c>
      <c r="M14" s="11" t="s">
        <v>29</v>
      </c>
      <c r="P14" s="11" t="s">
        <v>123</v>
      </c>
      <c r="Q14" s="13" t="s">
        <v>124</v>
      </c>
      <c r="R14" s="11">
        <v>-34.924578400000001</v>
      </c>
      <c r="S14" s="12" t="s">
        <v>33</v>
      </c>
      <c r="T14" s="11" t="str">
        <f t="shared" si="0"/>
        <v>-8.1636324</v>
      </c>
      <c r="U14" s="11" t="str">
        <f t="shared" si="1"/>
        <v>-34.9245784</v>
      </c>
    </row>
    <row r="15" spans="1:21">
      <c r="A15" s="11" t="s">
        <v>125</v>
      </c>
      <c r="B15" s="11" t="s">
        <v>126</v>
      </c>
      <c r="C15" s="11">
        <v>36288275000209</v>
      </c>
      <c r="E15" s="12" t="s">
        <v>23</v>
      </c>
      <c r="F15" s="12" t="s">
        <v>127</v>
      </c>
      <c r="G15" s="11" t="s">
        <v>128</v>
      </c>
      <c r="H15" s="11" t="s">
        <v>129</v>
      </c>
      <c r="I15" s="11" t="s">
        <v>130</v>
      </c>
      <c r="J15" s="11">
        <v>49160000</v>
      </c>
      <c r="K15" s="11" t="s">
        <v>131</v>
      </c>
      <c r="L15" s="11" t="s">
        <v>128</v>
      </c>
      <c r="M15" s="11" t="s">
        <v>49</v>
      </c>
      <c r="P15" s="11" t="s">
        <v>132</v>
      </c>
      <c r="Q15" s="13">
        <v>-9.4166699999999999</v>
      </c>
      <c r="R15" s="11">
        <v>-38.033329999999999</v>
      </c>
      <c r="S15" s="12" t="s">
        <v>70</v>
      </c>
      <c r="T15" s="11" t="str">
        <f t="shared" si="0"/>
        <v>-9.41667</v>
      </c>
      <c r="U15" s="11" t="str">
        <f t="shared" si="1"/>
        <v>-38.03333</v>
      </c>
    </row>
    <row r="16" spans="1:21">
      <c r="A16" s="11" t="s">
        <v>133</v>
      </c>
      <c r="B16" s="11" t="s">
        <v>126</v>
      </c>
      <c r="C16" s="11">
        <v>36288275000110</v>
      </c>
      <c r="E16" s="12" t="s">
        <v>23</v>
      </c>
      <c r="F16" s="12" t="s">
        <v>134</v>
      </c>
      <c r="G16" s="11" t="s">
        <v>135</v>
      </c>
      <c r="H16" s="11">
        <v>215</v>
      </c>
      <c r="I16" s="11" t="s">
        <v>136</v>
      </c>
      <c r="J16" s="11">
        <v>49026900</v>
      </c>
      <c r="K16" s="11" t="s">
        <v>137</v>
      </c>
      <c r="L16" s="11" t="s">
        <v>48</v>
      </c>
      <c r="M16" s="11" t="s">
        <v>49</v>
      </c>
      <c r="P16" s="11" t="s">
        <v>138</v>
      </c>
      <c r="Q16" s="13" t="s">
        <v>139</v>
      </c>
      <c r="R16" s="11" t="s">
        <v>140</v>
      </c>
      <c r="S16" s="12" t="s">
        <v>33</v>
      </c>
      <c r="T16" s="11" t="str">
        <f t="shared" si="0"/>
        <v>-10.9415241</v>
      </c>
      <c r="U16" s="11" t="str">
        <f t="shared" si="1"/>
        <v>-37.0597580</v>
      </c>
    </row>
    <row r="17" spans="1:21">
      <c r="A17" s="11" t="s">
        <v>141</v>
      </c>
      <c r="B17" s="11" t="s">
        <v>142</v>
      </c>
      <c r="C17" s="11">
        <v>32965077000192</v>
      </c>
      <c r="E17" s="12" t="s">
        <v>23</v>
      </c>
      <c r="F17" s="12" t="s">
        <v>143</v>
      </c>
      <c r="G17" s="11" t="s">
        <v>144</v>
      </c>
      <c r="H17" s="11">
        <v>3800</v>
      </c>
      <c r="I17" s="11" t="s">
        <v>26</v>
      </c>
      <c r="J17" s="11">
        <v>57073470</v>
      </c>
      <c r="K17" s="11" t="s">
        <v>145</v>
      </c>
      <c r="L17" s="11" t="s">
        <v>146</v>
      </c>
      <c r="M17" s="11" t="s">
        <v>147</v>
      </c>
      <c r="P17" s="11" t="s">
        <v>148</v>
      </c>
      <c r="Q17" s="13" t="s">
        <v>149</v>
      </c>
      <c r="R17" s="11" t="s">
        <v>150</v>
      </c>
      <c r="S17" s="12" t="s">
        <v>33</v>
      </c>
      <c r="T17" s="11" t="str">
        <f t="shared" si="0"/>
        <v>-9.5653853</v>
      </c>
      <c r="U17" s="11" t="str">
        <f t="shared" si="1"/>
        <v>-35.7761216</v>
      </c>
    </row>
    <row r="18" spans="1:21">
      <c r="A18" s="11" t="s">
        <v>151</v>
      </c>
      <c r="B18" s="11" t="s">
        <v>152</v>
      </c>
      <c r="C18" s="11">
        <v>35695657000103</v>
      </c>
      <c r="E18" s="12" t="s">
        <v>23</v>
      </c>
      <c r="F18" s="12" t="s">
        <v>153</v>
      </c>
      <c r="G18" s="11" t="s">
        <v>154</v>
      </c>
      <c r="H18" s="11">
        <v>132</v>
      </c>
      <c r="I18" s="11" t="s">
        <v>155</v>
      </c>
      <c r="J18" s="11">
        <v>52011070</v>
      </c>
      <c r="K18" s="11" t="s">
        <v>156</v>
      </c>
      <c r="L18" s="11" t="s">
        <v>28</v>
      </c>
      <c r="M18" s="11" t="s">
        <v>29</v>
      </c>
      <c r="P18" s="11" t="s">
        <v>157</v>
      </c>
      <c r="Q18" s="13" t="s">
        <v>158</v>
      </c>
      <c r="R18" s="11" t="s">
        <v>159</v>
      </c>
      <c r="S18" s="12" t="s">
        <v>33</v>
      </c>
      <c r="T18" s="11" t="str">
        <f t="shared" si="0"/>
        <v>-8.0466349</v>
      </c>
      <c r="U18" s="11" t="str">
        <f t="shared" si="1"/>
        <v>-34.8979978</v>
      </c>
    </row>
    <row r="19" spans="1:21">
      <c r="A19" s="11" t="s">
        <v>160</v>
      </c>
      <c r="B19" s="11" t="s">
        <v>161</v>
      </c>
      <c r="C19" s="11">
        <v>32964863000175</v>
      </c>
      <c r="E19" s="12" t="s">
        <v>23</v>
      </c>
      <c r="F19" s="12" t="s">
        <v>143</v>
      </c>
      <c r="G19" s="11" t="s">
        <v>162</v>
      </c>
      <c r="H19" s="11">
        <v>2990</v>
      </c>
      <c r="I19" s="11" t="s">
        <v>163</v>
      </c>
      <c r="J19" s="11">
        <v>57037901</v>
      </c>
      <c r="K19" s="11" t="s">
        <v>164</v>
      </c>
      <c r="L19" s="11" t="s">
        <v>146</v>
      </c>
      <c r="M19" s="11" t="s">
        <v>147</v>
      </c>
      <c r="P19" s="11" t="s">
        <v>165</v>
      </c>
      <c r="Q19" s="13">
        <v>-9.6538027</v>
      </c>
      <c r="R19" s="11">
        <v>-35.721045699999998</v>
      </c>
      <c r="S19" s="12" t="s">
        <v>70</v>
      </c>
      <c r="T19" s="11" t="str">
        <f t="shared" si="0"/>
        <v>-9.6538027</v>
      </c>
      <c r="U19" s="11" t="str">
        <f t="shared" si="1"/>
        <v>-35.7210457</v>
      </c>
    </row>
    <row r="20" spans="1:21">
      <c r="A20" s="11" t="s">
        <v>166</v>
      </c>
      <c r="B20" s="11" t="s">
        <v>167</v>
      </c>
      <c r="C20" s="11">
        <v>34934739000192</v>
      </c>
      <c r="E20" s="12" t="s">
        <v>23</v>
      </c>
      <c r="F20" s="12" t="s">
        <v>55</v>
      </c>
      <c r="G20" s="11" t="s">
        <v>168</v>
      </c>
      <c r="H20" s="11" t="s">
        <v>169</v>
      </c>
      <c r="I20" s="11" t="s">
        <v>170</v>
      </c>
      <c r="J20" s="11">
        <v>48903485</v>
      </c>
      <c r="K20" s="11" t="s">
        <v>39</v>
      </c>
      <c r="L20" s="11" t="s">
        <v>171</v>
      </c>
      <c r="M20" s="11" t="s">
        <v>86</v>
      </c>
      <c r="P20" s="11" t="s">
        <v>172</v>
      </c>
      <c r="Q20" s="13" t="s">
        <v>173</v>
      </c>
      <c r="R20" s="11" t="s">
        <v>174</v>
      </c>
      <c r="S20" s="12" t="s">
        <v>33</v>
      </c>
      <c r="T20" s="11" t="str">
        <f t="shared" si="0"/>
        <v>-9.4137251</v>
      </c>
      <c r="U20" s="11" t="str">
        <f t="shared" si="1"/>
        <v>-40.5029699</v>
      </c>
    </row>
    <row r="21" spans="1:21">
      <c r="A21" s="11" t="s">
        <v>175</v>
      </c>
      <c r="B21" s="11" t="s">
        <v>176</v>
      </c>
      <c r="C21" s="11">
        <v>33061712000170</v>
      </c>
      <c r="E21" s="12" t="s">
        <v>23</v>
      </c>
      <c r="F21" s="12" t="s">
        <v>177</v>
      </c>
      <c r="G21" s="11" t="s">
        <v>178</v>
      </c>
      <c r="H21" s="11">
        <v>242</v>
      </c>
      <c r="I21" s="11" t="s">
        <v>26</v>
      </c>
      <c r="J21" s="11">
        <v>53401445</v>
      </c>
      <c r="K21" s="11" t="s">
        <v>39</v>
      </c>
      <c r="L21" s="11" t="s">
        <v>179</v>
      </c>
      <c r="M21" s="11" t="s">
        <v>29</v>
      </c>
      <c r="P21" s="11" t="s">
        <v>180</v>
      </c>
      <c r="Q21" s="13">
        <v>-7.9408300000000001</v>
      </c>
      <c r="R21" s="11">
        <v>-34.873060000000002</v>
      </c>
      <c r="S21" s="12" t="s">
        <v>70</v>
      </c>
      <c r="T21" s="11" t="str">
        <f t="shared" si="0"/>
        <v>-7.94083</v>
      </c>
      <c r="U21" s="11" t="str">
        <f t="shared" si="1"/>
        <v>-34.87306</v>
      </c>
    </row>
    <row r="22" spans="1:21">
      <c r="A22" s="11" t="s">
        <v>181</v>
      </c>
      <c r="B22" s="11" t="s">
        <v>182</v>
      </c>
      <c r="C22" s="11">
        <v>33920156000140</v>
      </c>
      <c r="E22" s="12" t="s">
        <v>23</v>
      </c>
      <c r="F22" s="12" t="s">
        <v>183</v>
      </c>
      <c r="G22" s="11" t="s">
        <v>184</v>
      </c>
      <c r="H22" s="11">
        <v>1050</v>
      </c>
      <c r="I22" s="11" t="s">
        <v>26</v>
      </c>
      <c r="J22" s="11">
        <v>58410185</v>
      </c>
      <c r="K22" s="11" t="s">
        <v>185</v>
      </c>
      <c r="L22" s="11" t="s">
        <v>186</v>
      </c>
      <c r="M22" s="11" t="s">
        <v>187</v>
      </c>
      <c r="P22" s="11" t="s">
        <v>188</v>
      </c>
      <c r="Q22" s="13" t="s">
        <v>189</v>
      </c>
      <c r="R22" s="11" t="s">
        <v>190</v>
      </c>
      <c r="S22" s="12" t="s">
        <v>33</v>
      </c>
      <c r="T22" s="11" t="str">
        <f t="shared" si="0"/>
        <v>-7.2316660</v>
      </c>
      <c r="U22" s="11" t="str">
        <f t="shared" si="1"/>
        <v>-35.8713921</v>
      </c>
    </row>
    <row r="23" spans="1:21">
      <c r="A23" s="11" t="s">
        <v>191</v>
      </c>
      <c r="B23" s="11" t="s">
        <v>192</v>
      </c>
      <c r="C23" s="11">
        <v>34807712000139</v>
      </c>
      <c r="E23" s="12" t="s">
        <v>23</v>
      </c>
      <c r="F23" s="12" t="s">
        <v>193</v>
      </c>
      <c r="G23" s="11" t="s">
        <v>194</v>
      </c>
      <c r="H23" s="11">
        <v>184</v>
      </c>
      <c r="I23" s="11" t="s">
        <v>195</v>
      </c>
      <c r="J23" s="11">
        <v>58020500</v>
      </c>
      <c r="K23" s="11" t="s">
        <v>196</v>
      </c>
      <c r="L23" s="11" t="s">
        <v>197</v>
      </c>
      <c r="M23" s="11" t="s">
        <v>187</v>
      </c>
      <c r="P23" s="11" t="s">
        <v>198</v>
      </c>
      <c r="Q23" s="13" t="s">
        <v>199</v>
      </c>
      <c r="R23" s="11" t="s">
        <v>200</v>
      </c>
      <c r="S23" s="12" t="s">
        <v>33</v>
      </c>
      <c r="T23" s="11" t="str">
        <f t="shared" si="0"/>
        <v>-7.1157312</v>
      </c>
      <c r="U23" s="11" t="str">
        <f t="shared" si="1"/>
        <v>-34.8767553</v>
      </c>
    </row>
    <row r="24" spans="1:21">
      <c r="A24" s="11" t="s">
        <v>201</v>
      </c>
      <c r="B24" s="11" t="s">
        <v>202</v>
      </c>
      <c r="C24" s="11">
        <v>34698995000128</v>
      </c>
      <c r="E24" s="12" t="s">
        <v>23</v>
      </c>
      <c r="F24" s="12" t="s">
        <v>203</v>
      </c>
      <c r="G24" s="11" t="s">
        <v>204</v>
      </c>
      <c r="H24" s="11">
        <v>1000</v>
      </c>
      <c r="I24" s="11" t="s">
        <v>205</v>
      </c>
      <c r="J24" s="11">
        <v>48604220</v>
      </c>
      <c r="K24" s="11" t="s">
        <v>206</v>
      </c>
      <c r="L24" s="11" t="s">
        <v>207</v>
      </c>
      <c r="M24" s="11" t="s">
        <v>86</v>
      </c>
      <c r="P24" s="11" t="s">
        <v>208</v>
      </c>
      <c r="Q24" s="13">
        <v>-9.3936408</v>
      </c>
      <c r="R24" s="11">
        <v>-38.242559999999997</v>
      </c>
      <c r="S24" s="12" t="s">
        <v>70</v>
      </c>
      <c r="T24" s="11" t="str">
        <f t="shared" si="0"/>
        <v>-9.3936408</v>
      </c>
      <c r="U24" s="11" t="str">
        <f t="shared" si="1"/>
        <v>-38.24256</v>
      </c>
    </row>
    <row r="25" spans="1:21">
      <c r="A25" s="11" t="s">
        <v>209</v>
      </c>
      <c r="B25" s="11" t="s">
        <v>210</v>
      </c>
      <c r="C25" s="11">
        <v>39722667000133</v>
      </c>
      <c r="E25" s="12" t="s">
        <v>23</v>
      </c>
      <c r="F25" s="12" t="s">
        <v>211</v>
      </c>
      <c r="G25" s="11" t="s">
        <v>212</v>
      </c>
      <c r="H25" s="11">
        <v>254</v>
      </c>
      <c r="I25" s="11" t="s">
        <v>26</v>
      </c>
      <c r="J25" s="11">
        <v>59148340</v>
      </c>
      <c r="K25" s="11" t="s">
        <v>213</v>
      </c>
      <c r="L25" s="11" t="s">
        <v>214</v>
      </c>
      <c r="M25" s="11" t="s">
        <v>215</v>
      </c>
      <c r="P25" s="11" t="s">
        <v>216</v>
      </c>
      <c r="Q25" s="13" t="s">
        <v>217</v>
      </c>
      <c r="R25" s="11" t="s">
        <v>218</v>
      </c>
      <c r="S25" s="12" t="s">
        <v>33</v>
      </c>
      <c r="T25" s="11" t="str">
        <f t="shared" si="0"/>
        <v>-5.8927682</v>
      </c>
      <c r="U25" s="11" t="str">
        <f t="shared" si="1"/>
        <v>-35.2339711</v>
      </c>
    </row>
    <row r="26" spans="1:21">
      <c r="A26" s="11" t="s">
        <v>219</v>
      </c>
      <c r="B26" s="11" t="s">
        <v>220</v>
      </c>
      <c r="C26" s="11">
        <v>36438650000160</v>
      </c>
      <c r="E26" s="12" t="s">
        <v>23</v>
      </c>
      <c r="F26" s="12" t="s">
        <v>221</v>
      </c>
      <c r="G26" s="11" t="s">
        <v>222</v>
      </c>
      <c r="H26" s="11">
        <v>5600</v>
      </c>
      <c r="I26" s="11" t="s">
        <v>26</v>
      </c>
      <c r="J26" s="11">
        <v>68745000</v>
      </c>
      <c r="K26" s="11" t="s">
        <v>223</v>
      </c>
      <c r="L26" s="11" t="s">
        <v>224</v>
      </c>
      <c r="M26" s="11" t="s">
        <v>225</v>
      </c>
      <c r="P26" s="11" t="s">
        <v>226</v>
      </c>
      <c r="Q26" s="13" t="s">
        <v>227</v>
      </c>
      <c r="R26" s="11" t="s">
        <v>228</v>
      </c>
      <c r="S26" s="12" t="s">
        <v>33</v>
      </c>
      <c r="T26" s="11" t="str">
        <f t="shared" si="0"/>
        <v>-1.2964599</v>
      </c>
      <c r="U26" s="11" t="str">
        <f t="shared" si="1"/>
        <v>-47.9229684</v>
      </c>
    </row>
    <row r="27" spans="1:21">
      <c r="A27" s="11" t="s">
        <v>229</v>
      </c>
      <c r="B27" s="11" t="s">
        <v>230</v>
      </c>
      <c r="C27" s="11">
        <v>33250851000141</v>
      </c>
      <c r="E27" s="12" t="s">
        <v>23</v>
      </c>
      <c r="F27" s="12" t="s">
        <v>231</v>
      </c>
      <c r="G27" s="11" t="s">
        <v>232</v>
      </c>
      <c r="H27" s="11">
        <v>153</v>
      </c>
      <c r="I27" s="11" t="s">
        <v>26</v>
      </c>
      <c r="J27" s="11">
        <v>50110900</v>
      </c>
      <c r="K27" s="11" t="s">
        <v>233</v>
      </c>
      <c r="L27" s="11" t="s">
        <v>28</v>
      </c>
      <c r="M27" s="11" t="s">
        <v>29</v>
      </c>
      <c r="P27" s="11" t="s">
        <v>234</v>
      </c>
      <c r="Q27" s="13">
        <v>-8.0432524000000001</v>
      </c>
      <c r="R27" s="11">
        <v>-34.8860101</v>
      </c>
      <c r="S27" s="12" t="s">
        <v>70</v>
      </c>
      <c r="T27" s="11" t="str">
        <f t="shared" si="0"/>
        <v>-8.0432524</v>
      </c>
      <c r="U27" s="11" t="str">
        <f t="shared" si="1"/>
        <v>-34.8860101</v>
      </c>
    </row>
    <row r="28" spans="1:21">
      <c r="A28" s="11" t="s">
        <v>235</v>
      </c>
      <c r="B28" s="11" t="s">
        <v>236</v>
      </c>
      <c r="C28" s="11">
        <v>33423479000128</v>
      </c>
      <c r="E28" s="12" t="s">
        <v>23</v>
      </c>
      <c r="F28" s="12" t="s">
        <v>237</v>
      </c>
      <c r="G28" s="11" t="s">
        <v>238</v>
      </c>
      <c r="H28" s="11">
        <v>82</v>
      </c>
      <c r="I28" s="11" t="s">
        <v>239</v>
      </c>
      <c r="J28" s="11">
        <v>44002000</v>
      </c>
      <c r="K28" s="11" t="s">
        <v>39</v>
      </c>
      <c r="L28" s="11" t="s">
        <v>240</v>
      </c>
      <c r="M28" s="11" t="s">
        <v>86</v>
      </c>
      <c r="P28" s="11" t="s">
        <v>241</v>
      </c>
      <c r="Q28" s="13" t="s">
        <v>242</v>
      </c>
      <c r="R28" s="11" t="s">
        <v>243</v>
      </c>
      <c r="S28" s="12" t="s">
        <v>33</v>
      </c>
      <c r="T28" s="11" t="str">
        <f t="shared" si="0"/>
        <v>-12.2573388</v>
      </c>
      <c r="U28" s="11" t="str">
        <f t="shared" si="1"/>
        <v>-38.9641684</v>
      </c>
    </row>
    <row r="29" spans="1:21">
      <c r="A29" s="11" t="s">
        <v>244</v>
      </c>
      <c r="B29" s="11" t="s">
        <v>245</v>
      </c>
      <c r="C29" s="11">
        <v>34854383001582</v>
      </c>
      <c r="E29" s="12" t="s">
        <v>23</v>
      </c>
      <c r="F29" s="12" t="s">
        <v>246</v>
      </c>
      <c r="G29" s="11" t="s">
        <v>247</v>
      </c>
      <c r="H29" s="11">
        <v>5308</v>
      </c>
      <c r="I29" s="11" t="s">
        <v>26</v>
      </c>
      <c r="J29" s="11">
        <v>7252000</v>
      </c>
      <c r="K29" s="11" t="s">
        <v>248</v>
      </c>
      <c r="L29" s="11" t="s">
        <v>249</v>
      </c>
      <c r="M29" s="11" t="s">
        <v>78</v>
      </c>
      <c r="P29" s="11" t="s">
        <v>250</v>
      </c>
      <c r="Q29" s="13">
        <v>-23.430754100000001</v>
      </c>
      <c r="R29" s="11">
        <v>-46.405556699999998</v>
      </c>
      <c r="S29" s="12" t="s">
        <v>70</v>
      </c>
      <c r="T29" s="11" t="str">
        <f t="shared" si="0"/>
        <v>-23.4307541</v>
      </c>
      <c r="U29" s="11" t="str">
        <f t="shared" si="1"/>
        <v>-46.4055567</v>
      </c>
    </row>
    <row r="30" spans="1:21">
      <c r="A30" s="11" t="s">
        <v>251</v>
      </c>
      <c r="B30" s="11" t="s">
        <v>252</v>
      </c>
      <c r="C30" s="11">
        <v>34801904000138</v>
      </c>
      <c r="E30" s="12" t="s">
        <v>23</v>
      </c>
      <c r="F30" s="12" t="s">
        <v>253</v>
      </c>
      <c r="G30" s="11" t="s">
        <v>254</v>
      </c>
      <c r="H30" s="11">
        <v>341</v>
      </c>
      <c r="I30" s="11" t="s">
        <v>26</v>
      </c>
      <c r="J30" s="11">
        <v>68900070</v>
      </c>
      <c r="K30" s="11" t="s">
        <v>255</v>
      </c>
      <c r="L30" s="11" t="s">
        <v>256</v>
      </c>
      <c r="M30" s="11" t="s">
        <v>257</v>
      </c>
      <c r="P30" s="11" t="s">
        <v>258</v>
      </c>
      <c r="Q30" s="13" t="s">
        <v>259</v>
      </c>
      <c r="R30" s="11" t="s">
        <v>260</v>
      </c>
      <c r="S30" s="12" t="s">
        <v>33</v>
      </c>
      <c r="T30" s="11" t="str">
        <f t="shared" si="0"/>
        <v>0.0384522</v>
      </c>
      <c r="U30" s="11" t="str">
        <f t="shared" si="1"/>
        <v>-51.0630850</v>
      </c>
    </row>
    <row r="31" spans="1:21">
      <c r="A31" s="11" t="s">
        <v>261</v>
      </c>
      <c r="B31" s="11" t="s">
        <v>262</v>
      </c>
      <c r="C31" s="11">
        <v>31445469000168</v>
      </c>
      <c r="E31" s="12" t="s">
        <v>23</v>
      </c>
      <c r="F31" s="12" t="s">
        <v>263</v>
      </c>
      <c r="G31" s="11" t="s">
        <v>264</v>
      </c>
      <c r="H31" s="11">
        <v>1102</v>
      </c>
      <c r="I31" s="11" t="s">
        <v>26</v>
      </c>
      <c r="J31" s="11">
        <v>55297320</v>
      </c>
      <c r="K31" s="11" t="s">
        <v>265</v>
      </c>
      <c r="L31" s="11" t="s">
        <v>266</v>
      </c>
      <c r="M31" s="11" t="s">
        <v>29</v>
      </c>
      <c r="P31" s="11" t="s">
        <v>267</v>
      </c>
      <c r="Q31" s="13">
        <v>-8.8749211999999993</v>
      </c>
      <c r="R31" s="11">
        <v>-36.470607200000003</v>
      </c>
      <c r="S31" s="12" t="s">
        <v>70</v>
      </c>
      <c r="T31" s="11" t="str">
        <f t="shared" si="0"/>
        <v>-8.8749212</v>
      </c>
      <c r="U31" s="11" t="str">
        <f t="shared" si="1"/>
        <v>-36.4706072</v>
      </c>
    </row>
    <row r="32" spans="1:21">
      <c r="A32" s="11" t="s">
        <v>268</v>
      </c>
      <c r="B32" s="11" t="s">
        <v>45</v>
      </c>
      <c r="C32" s="11">
        <v>33693099000103</v>
      </c>
      <c r="E32" s="12" t="s">
        <v>23</v>
      </c>
      <c r="F32" s="12" t="s">
        <v>46</v>
      </c>
      <c r="G32" s="11" t="s">
        <v>269</v>
      </c>
      <c r="H32" s="11">
        <v>430</v>
      </c>
      <c r="I32" s="11" t="s">
        <v>270</v>
      </c>
      <c r="J32" s="11">
        <v>49085410</v>
      </c>
      <c r="K32" s="11" t="s">
        <v>271</v>
      </c>
      <c r="L32" s="11" t="s">
        <v>48</v>
      </c>
      <c r="M32" s="11" t="s">
        <v>49</v>
      </c>
      <c r="P32" s="11" t="s">
        <v>272</v>
      </c>
      <c r="Q32" s="13" t="s">
        <v>273</v>
      </c>
      <c r="R32" s="11" t="s">
        <v>274</v>
      </c>
      <c r="S32" s="12" t="s">
        <v>33</v>
      </c>
      <c r="T32" s="11" t="str">
        <f t="shared" si="0"/>
        <v>-10.9069910</v>
      </c>
      <c r="U32" s="11" t="str">
        <f t="shared" si="1"/>
        <v>-37.0867817</v>
      </c>
    </row>
    <row r="33" spans="1:21">
      <c r="A33" s="11" t="s">
        <v>275</v>
      </c>
      <c r="B33" s="11" t="s">
        <v>276</v>
      </c>
      <c r="C33" s="11">
        <v>14644618000107</v>
      </c>
      <c r="E33" s="12" t="s">
        <v>23</v>
      </c>
      <c r="F33" s="12" t="s">
        <v>277</v>
      </c>
      <c r="G33" s="11" t="s">
        <v>278</v>
      </c>
      <c r="H33" s="11">
        <v>1000</v>
      </c>
      <c r="I33" s="11" t="s">
        <v>26</v>
      </c>
      <c r="J33" s="11">
        <v>65110000</v>
      </c>
      <c r="K33" s="11" t="s">
        <v>279</v>
      </c>
      <c r="L33" s="11" t="s">
        <v>280</v>
      </c>
      <c r="M33" s="11" t="s">
        <v>281</v>
      </c>
      <c r="P33" s="13" t="s">
        <v>282</v>
      </c>
      <c r="Q33" s="13">
        <v>-255113295159633</v>
      </c>
      <c r="R33" s="14">
        <v>-4419247496150000</v>
      </c>
      <c r="S33" s="12" t="s">
        <v>283</v>
      </c>
      <c r="T33" s="11" t="str">
        <f t="shared" si="0"/>
        <v>-255113295159633</v>
      </c>
      <c r="U33" s="11" t="str">
        <f t="shared" si="1"/>
        <v>-4419247496150000</v>
      </c>
    </row>
    <row r="34" spans="1:21">
      <c r="P34" s="11"/>
    </row>
    <row r="35" spans="1:21">
      <c r="A35" s="11" t="s">
        <v>284</v>
      </c>
      <c r="B35" s="11" t="s">
        <v>210</v>
      </c>
      <c r="C35" s="11">
        <v>39722667000133</v>
      </c>
      <c r="E35" s="12" t="s">
        <v>23</v>
      </c>
      <c r="F35" s="12" t="s">
        <v>285</v>
      </c>
      <c r="G35" s="11" t="s">
        <v>212</v>
      </c>
      <c r="H35" s="11">
        <v>254</v>
      </c>
      <c r="I35" s="11" t="s">
        <v>286</v>
      </c>
      <c r="J35" s="11">
        <v>59148340</v>
      </c>
      <c r="K35" s="11" t="s">
        <v>213</v>
      </c>
      <c r="L35" s="11" t="s">
        <v>214</v>
      </c>
      <c r="M35" s="11" t="s">
        <v>215</v>
      </c>
      <c r="P35" s="11" t="s">
        <v>216</v>
      </c>
      <c r="Q35" s="13" t="s">
        <v>217</v>
      </c>
      <c r="R35" s="11" t="s">
        <v>218</v>
      </c>
      <c r="S35" s="12" t="s">
        <v>33</v>
      </c>
      <c r="T35" s="11" t="str">
        <f t="shared" si="0"/>
        <v>-5.8927682</v>
      </c>
      <c r="U35" s="11" t="str">
        <f t="shared" si="1"/>
        <v>-35.2339711</v>
      </c>
    </row>
    <row r="36" spans="1:21">
      <c r="A36" s="11" t="s">
        <v>287</v>
      </c>
      <c r="B36" s="11" t="s">
        <v>288</v>
      </c>
      <c r="C36" s="11">
        <v>28924304000164</v>
      </c>
      <c r="E36" s="12" t="s">
        <v>23</v>
      </c>
      <c r="F36" s="12" t="s">
        <v>289</v>
      </c>
      <c r="G36" s="11" t="s">
        <v>290</v>
      </c>
      <c r="H36" s="11" t="s">
        <v>291</v>
      </c>
      <c r="I36" s="11" t="s">
        <v>26</v>
      </c>
      <c r="J36" s="11">
        <v>56215000</v>
      </c>
      <c r="K36" s="11" t="s">
        <v>292</v>
      </c>
      <c r="L36" s="11" t="s">
        <v>290</v>
      </c>
      <c r="M36" s="11" t="s">
        <v>29</v>
      </c>
      <c r="P36" s="11" t="s">
        <v>293</v>
      </c>
      <c r="Q36" s="13">
        <v>-7.9574999999999996</v>
      </c>
      <c r="R36" s="11">
        <v>-36.204720000000002</v>
      </c>
      <c r="S36" s="12" t="s">
        <v>70</v>
      </c>
      <c r="T36" s="11" t="str">
        <f t="shared" si="0"/>
        <v>-7.9575</v>
      </c>
      <c r="U36" s="11" t="str">
        <f t="shared" si="1"/>
        <v>-36.20472</v>
      </c>
    </row>
    <row r="37" spans="1:21">
      <c r="A37" s="11" t="s">
        <v>294</v>
      </c>
      <c r="B37" s="11" t="s">
        <v>295</v>
      </c>
      <c r="C37" s="11">
        <v>38081815000115</v>
      </c>
      <c r="E37" s="12" t="s">
        <v>23</v>
      </c>
      <c r="F37" s="12" t="s">
        <v>296</v>
      </c>
      <c r="G37" s="11" t="s">
        <v>297</v>
      </c>
      <c r="H37" s="11">
        <v>59</v>
      </c>
      <c r="I37" s="11" t="s">
        <v>26</v>
      </c>
      <c r="J37" s="11">
        <v>54120083</v>
      </c>
      <c r="K37" s="11" t="s">
        <v>298</v>
      </c>
      <c r="L37" s="11" t="s">
        <v>122</v>
      </c>
      <c r="M37" s="11" t="s">
        <v>29</v>
      </c>
      <c r="P37" s="11" t="s">
        <v>299</v>
      </c>
      <c r="Q37" s="13">
        <v>-8.0983777000000003</v>
      </c>
      <c r="R37" s="11">
        <v>-35.018315899999997</v>
      </c>
      <c r="S37" s="12" t="s">
        <v>70</v>
      </c>
      <c r="T37" s="11" t="str">
        <f t="shared" si="0"/>
        <v>-8.0983777</v>
      </c>
      <c r="U37" s="11" t="str">
        <f t="shared" si="1"/>
        <v>-35.0183159</v>
      </c>
    </row>
    <row r="38" spans="1:21">
      <c r="A38" s="11" t="s">
        <v>300</v>
      </c>
      <c r="B38" s="11" t="s">
        <v>301</v>
      </c>
      <c r="C38" s="11">
        <v>36079320000126</v>
      </c>
      <c r="E38" s="12" t="s">
        <v>23</v>
      </c>
      <c r="F38" s="12" t="s">
        <v>302</v>
      </c>
      <c r="G38" s="11" t="s">
        <v>303</v>
      </c>
      <c r="H38" s="11" t="s">
        <v>304</v>
      </c>
      <c r="I38" s="11" t="s">
        <v>305</v>
      </c>
      <c r="J38" s="11">
        <v>68515000</v>
      </c>
      <c r="K38" s="11" t="s">
        <v>306</v>
      </c>
      <c r="L38" s="11" t="s">
        <v>303</v>
      </c>
      <c r="M38" s="11" t="s">
        <v>225</v>
      </c>
      <c r="P38" s="11" t="s">
        <v>307</v>
      </c>
      <c r="Q38" s="13">
        <v>-6.0674999999999999</v>
      </c>
      <c r="R38" s="11">
        <v>-49.90222</v>
      </c>
      <c r="S38" s="12" t="s">
        <v>70</v>
      </c>
      <c r="T38" s="11" t="str">
        <f t="shared" si="0"/>
        <v>-6.0675</v>
      </c>
      <c r="U38" s="11" t="str">
        <f t="shared" si="1"/>
        <v>-49.90222</v>
      </c>
    </row>
    <row r="39" spans="1:21">
      <c r="A39" s="11" t="s">
        <v>308</v>
      </c>
      <c r="B39" s="11" t="s">
        <v>309</v>
      </c>
      <c r="C39" s="11">
        <v>38230039000178</v>
      </c>
      <c r="E39" s="12" t="s">
        <v>23</v>
      </c>
      <c r="F39" s="12" t="s">
        <v>310</v>
      </c>
      <c r="G39" s="11" t="s">
        <v>311</v>
      </c>
      <c r="H39" s="11">
        <v>623</v>
      </c>
      <c r="I39" s="11" t="s">
        <v>312</v>
      </c>
      <c r="J39" s="11">
        <v>23510006</v>
      </c>
      <c r="K39" s="11" t="s">
        <v>290</v>
      </c>
      <c r="L39" s="11" t="s">
        <v>313</v>
      </c>
      <c r="M39" s="11" t="s">
        <v>68</v>
      </c>
      <c r="P39" s="11" t="s">
        <v>314</v>
      </c>
      <c r="Q39" s="13" t="s">
        <v>315</v>
      </c>
      <c r="R39" s="11" t="s">
        <v>316</v>
      </c>
      <c r="S39" s="12" t="s">
        <v>33</v>
      </c>
      <c r="T39" s="11" t="str">
        <f t="shared" si="0"/>
        <v>-22.9187820</v>
      </c>
      <c r="U39" s="11" t="str">
        <f t="shared" si="1"/>
        <v>-43.6825374</v>
      </c>
    </row>
    <row r="40" spans="1:21">
      <c r="A40" s="11" t="s">
        <v>317</v>
      </c>
      <c r="B40" s="11" t="s">
        <v>318</v>
      </c>
      <c r="C40" s="11">
        <v>34512374000108</v>
      </c>
      <c r="E40" s="12" t="s">
        <v>23</v>
      </c>
      <c r="F40" s="12" t="s">
        <v>319</v>
      </c>
      <c r="G40" s="11" t="s">
        <v>320</v>
      </c>
      <c r="H40" s="11">
        <v>3340</v>
      </c>
      <c r="I40" s="11" t="s">
        <v>321</v>
      </c>
      <c r="J40" s="11">
        <v>45055900</v>
      </c>
      <c r="K40" s="11" t="s">
        <v>322</v>
      </c>
      <c r="L40" s="11" t="s">
        <v>323</v>
      </c>
      <c r="M40" s="11" t="s">
        <v>86</v>
      </c>
      <c r="P40" s="11" t="s">
        <v>324</v>
      </c>
      <c r="Q40" s="13" t="s">
        <v>325</v>
      </c>
      <c r="R40" s="11" t="s">
        <v>326</v>
      </c>
      <c r="S40" s="12" t="s">
        <v>33</v>
      </c>
      <c r="T40" s="11" t="str">
        <f t="shared" si="0"/>
        <v>-14.9045084</v>
      </c>
      <c r="U40" s="11" t="str">
        <f t="shared" si="1"/>
        <v>-40.8444382</v>
      </c>
    </row>
    <row r="41" spans="1:21">
      <c r="A41" s="11" t="s">
        <v>327</v>
      </c>
      <c r="B41" s="11" t="s">
        <v>328</v>
      </c>
      <c r="C41" s="11">
        <v>39501914000171</v>
      </c>
      <c r="E41" s="12" t="s">
        <v>23</v>
      </c>
      <c r="F41" s="12" t="s">
        <v>329</v>
      </c>
      <c r="G41" s="11" t="s">
        <v>330</v>
      </c>
      <c r="H41" s="11">
        <v>1515</v>
      </c>
      <c r="I41" s="11" t="s">
        <v>331</v>
      </c>
      <c r="J41" s="11">
        <v>59607330</v>
      </c>
      <c r="K41" s="11" t="s">
        <v>332</v>
      </c>
      <c r="L41" s="11" t="s">
        <v>333</v>
      </c>
      <c r="M41" s="11" t="s">
        <v>215</v>
      </c>
      <c r="P41" s="11" t="s">
        <v>334</v>
      </c>
      <c r="Q41" s="13" t="s">
        <v>335</v>
      </c>
      <c r="R41" s="11" t="s">
        <v>336</v>
      </c>
      <c r="S41" s="12" t="s">
        <v>33</v>
      </c>
      <c r="T41" s="11" t="str">
        <f t="shared" si="0"/>
        <v>-5.1743744</v>
      </c>
      <c r="U41" s="11" t="str">
        <f t="shared" si="1"/>
        <v>-37.3712409</v>
      </c>
    </row>
    <row r="42" spans="1:21">
      <c r="A42" s="11" t="s">
        <v>337</v>
      </c>
      <c r="B42" s="11" t="s">
        <v>338</v>
      </c>
      <c r="C42" s="11">
        <v>33299411000189</v>
      </c>
      <c r="E42" s="12" t="s">
        <v>23</v>
      </c>
      <c r="F42" s="12" t="s">
        <v>339</v>
      </c>
      <c r="G42" s="11" t="s">
        <v>340</v>
      </c>
      <c r="H42" s="11">
        <v>1377</v>
      </c>
      <c r="I42" s="11" t="s">
        <v>341</v>
      </c>
      <c r="J42" s="11">
        <v>59037820</v>
      </c>
      <c r="K42" s="11" t="s">
        <v>342</v>
      </c>
      <c r="L42" s="11" t="s">
        <v>343</v>
      </c>
      <c r="M42" s="11" t="s">
        <v>215</v>
      </c>
      <c r="P42" s="11" t="s">
        <v>344</v>
      </c>
      <c r="Q42" s="13" t="s">
        <v>345</v>
      </c>
      <c r="R42" s="11" t="s">
        <v>346</v>
      </c>
      <c r="S42" s="12" t="s">
        <v>33</v>
      </c>
      <c r="T42" s="11" t="str">
        <f t="shared" si="0"/>
        <v>-5.7966771</v>
      </c>
      <c r="U42" s="11" t="str">
        <f t="shared" si="1"/>
        <v>-35.2191101</v>
      </c>
    </row>
    <row r="43" spans="1:21">
      <c r="A43" s="11" t="s">
        <v>347</v>
      </c>
      <c r="B43" s="11" t="s">
        <v>348</v>
      </c>
      <c r="C43" s="11">
        <v>29207315000196</v>
      </c>
      <c r="E43" s="12" t="s">
        <v>23</v>
      </c>
      <c r="F43" s="12" t="s">
        <v>349</v>
      </c>
      <c r="G43" s="11" t="s">
        <v>350</v>
      </c>
      <c r="H43" s="11">
        <v>982</v>
      </c>
      <c r="I43" s="11" t="s">
        <v>351</v>
      </c>
      <c r="J43" s="11">
        <v>63010459</v>
      </c>
      <c r="K43" s="11" t="s">
        <v>352</v>
      </c>
      <c r="L43" s="11" t="s">
        <v>353</v>
      </c>
      <c r="M43" s="11" t="s">
        <v>354</v>
      </c>
      <c r="P43" s="11" t="s">
        <v>355</v>
      </c>
      <c r="Q43" s="13" t="s">
        <v>356</v>
      </c>
      <c r="R43" s="11" t="s">
        <v>357</v>
      </c>
      <c r="S43" s="12" t="s">
        <v>33</v>
      </c>
      <c r="T43" s="11" t="str">
        <f t="shared" si="0"/>
        <v>-7.2048904</v>
      </c>
      <c r="U43" s="11" t="str">
        <f t="shared" si="1"/>
        <v>-39.3160047</v>
      </c>
    </row>
    <row r="44" spans="1:21">
      <c r="P44" s="11"/>
    </row>
    <row r="45" spans="1:21">
      <c r="A45" s="11" t="s">
        <v>358</v>
      </c>
      <c r="B45" s="11" t="s">
        <v>359</v>
      </c>
      <c r="C45" s="11">
        <v>41566321000135</v>
      </c>
      <c r="E45" s="12" t="s">
        <v>23</v>
      </c>
      <c r="F45" s="12" t="s">
        <v>360</v>
      </c>
      <c r="G45" s="11" t="s">
        <v>361</v>
      </c>
      <c r="H45" s="11">
        <v>354</v>
      </c>
      <c r="I45" s="11" t="s">
        <v>26</v>
      </c>
      <c r="J45" s="11">
        <v>21555150</v>
      </c>
      <c r="K45" s="11" t="s">
        <v>362</v>
      </c>
      <c r="L45" s="11" t="s">
        <v>313</v>
      </c>
      <c r="M45" s="11" t="s">
        <v>68</v>
      </c>
      <c r="P45" s="11" t="s">
        <v>363</v>
      </c>
      <c r="Q45" s="13">
        <v>-22.868010000000002</v>
      </c>
      <c r="R45" s="11">
        <v>-43.362070000000003</v>
      </c>
      <c r="S45" s="12" t="s">
        <v>70</v>
      </c>
      <c r="T45" s="11" t="str">
        <f t="shared" si="0"/>
        <v>-22.86801</v>
      </c>
      <c r="U45" s="11" t="str">
        <f t="shared" si="1"/>
        <v>-43.36207</v>
      </c>
    </row>
    <row r="46" spans="1:21">
      <c r="A46" s="11" t="s">
        <v>364</v>
      </c>
      <c r="B46" s="11" t="s">
        <v>365</v>
      </c>
      <c r="C46" s="11">
        <v>37913633000109</v>
      </c>
      <c r="E46" s="12" t="s">
        <v>23</v>
      </c>
      <c r="F46" s="12" t="s">
        <v>366</v>
      </c>
      <c r="G46" s="11" t="s">
        <v>367</v>
      </c>
      <c r="H46" s="11">
        <v>963</v>
      </c>
      <c r="I46" s="11" t="s">
        <v>26</v>
      </c>
      <c r="J46" s="11">
        <v>65903350</v>
      </c>
      <c r="K46" s="11" t="s">
        <v>39</v>
      </c>
      <c r="L46" s="11" t="s">
        <v>368</v>
      </c>
      <c r="M46" s="11" t="s">
        <v>281</v>
      </c>
      <c r="P46" s="11" t="s">
        <v>369</v>
      </c>
      <c r="Q46" s="13" t="s">
        <v>370</v>
      </c>
      <c r="R46" s="11" t="s">
        <v>371</v>
      </c>
      <c r="S46" s="12" t="s">
        <v>33</v>
      </c>
      <c r="T46" s="11" t="str">
        <f t="shared" si="0"/>
        <v>-5.5156865</v>
      </c>
      <c r="U46" s="11" t="str">
        <f t="shared" si="1"/>
        <v>-47.4799870</v>
      </c>
    </row>
    <row r="47" spans="1:21">
      <c r="A47" s="11" t="s">
        <v>372</v>
      </c>
      <c r="B47" s="11" t="s">
        <v>373</v>
      </c>
      <c r="C47" s="11">
        <v>37805341000144</v>
      </c>
      <c r="E47" s="12" t="s">
        <v>23</v>
      </c>
      <c r="F47" s="12" t="s">
        <v>374</v>
      </c>
      <c r="G47" s="11" t="s">
        <v>375</v>
      </c>
      <c r="H47" s="11">
        <v>232</v>
      </c>
      <c r="I47" s="11" t="s">
        <v>26</v>
      </c>
      <c r="J47" s="11">
        <v>53180220</v>
      </c>
      <c r="K47" s="11" t="s">
        <v>39</v>
      </c>
      <c r="L47" s="11" t="s">
        <v>376</v>
      </c>
      <c r="M47" s="11" t="s">
        <v>29</v>
      </c>
      <c r="P47" s="11" t="s">
        <v>377</v>
      </c>
      <c r="Q47" s="13">
        <v>-7.4102800000000002</v>
      </c>
      <c r="R47" s="11">
        <v>-35.112780000000001</v>
      </c>
      <c r="S47" s="12" t="s">
        <v>70</v>
      </c>
      <c r="T47" s="11" t="str">
        <f t="shared" si="0"/>
        <v>-7.41028</v>
      </c>
      <c r="U47" s="11" t="str">
        <f t="shared" si="1"/>
        <v>-35.11278</v>
      </c>
    </row>
    <row r="48" spans="1:21">
      <c r="P48" s="11"/>
    </row>
    <row r="49" spans="1:21">
      <c r="A49" s="11" t="s">
        <v>378</v>
      </c>
      <c r="B49" s="11" t="s">
        <v>379</v>
      </c>
      <c r="C49" s="11">
        <v>42044914000102</v>
      </c>
      <c r="E49" s="12" t="s">
        <v>23</v>
      </c>
      <c r="F49" s="12" t="s">
        <v>319</v>
      </c>
      <c r="G49" s="11" t="s">
        <v>380</v>
      </c>
      <c r="H49" s="11">
        <v>142</v>
      </c>
      <c r="I49" s="11" t="s">
        <v>26</v>
      </c>
      <c r="J49" s="11">
        <v>45000230</v>
      </c>
      <c r="K49" s="11" t="s">
        <v>39</v>
      </c>
      <c r="L49" s="11" t="s">
        <v>323</v>
      </c>
      <c r="M49" s="11" t="s">
        <v>86</v>
      </c>
      <c r="P49" s="11" t="s">
        <v>381</v>
      </c>
      <c r="Q49" s="13" t="s">
        <v>382</v>
      </c>
      <c r="R49" s="11" t="s">
        <v>383</v>
      </c>
      <c r="S49" s="12" t="s">
        <v>33</v>
      </c>
      <c r="T49" s="11" t="str">
        <f t="shared" si="0"/>
        <v>-14.8520143</v>
      </c>
      <c r="U49" s="11" t="str">
        <f t="shared" si="1"/>
        <v>-40.8411273</v>
      </c>
    </row>
    <row r="50" spans="1:21">
      <c r="A50" s="11" t="s">
        <v>384</v>
      </c>
      <c r="B50" s="11" t="s">
        <v>385</v>
      </c>
      <c r="C50" s="11">
        <v>42326357000104</v>
      </c>
      <c r="E50" s="12" t="s">
        <v>23</v>
      </c>
      <c r="F50" s="12" t="s">
        <v>386</v>
      </c>
      <c r="G50" s="11" t="s">
        <v>387</v>
      </c>
      <c r="H50" s="11">
        <v>5811</v>
      </c>
      <c r="I50" s="11" t="s">
        <v>388</v>
      </c>
      <c r="J50" s="11">
        <v>64045550</v>
      </c>
      <c r="K50" s="11" t="s">
        <v>389</v>
      </c>
      <c r="L50" s="11" t="s">
        <v>390</v>
      </c>
      <c r="M50" s="11" t="s">
        <v>391</v>
      </c>
      <c r="P50" s="11" t="s">
        <v>392</v>
      </c>
      <c r="Q50" s="13">
        <v>-5.0895313</v>
      </c>
      <c r="R50" s="11">
        <v>-42.773849900000002</v>
      </c>
      <c r="S50" s="12" t="s">
        <v>70</v>
      </c>
      <c r="T50" s="11" t="str">
        <f t="shared" si="0"/>
        <v>-5.0895313</v>
      </c>
      <c r="U50" s="11" t="str">
        <f t="shared" si="1"/>
        <v>-42.7738499</v>
      </c>
    </row>
    <row r="51" spans="1:21">
      <c r="A51" s="11" t="s">
        <v>393</v>
      </c>
      <c r="B51" s="11" t="s">
        <v>385</v>
      </c>
      <c r="C51" s="11">
        <v>42326357000104</v>
      </c>
      <c r="E51" s="12" t="s">
        <v>23</v>
      </c>
      <c r="F51" s="12" t="s">
        <v>394</v>
      </c>
      <c r="G51" s="11" t="s">
        <v>387</v>
      </c>
      <c r="H51" s="11">
        <v>5811</v>
      </c>
      <c r="I51" s="11" t="s">
        <v>26</v>
      </c>
      <c r="J51" s="11">
        <v>64045550</v>
      </c>
      <c r="K51" s="11" t="s">
        <v>389</v>
      </c>
      <c r="L51" s="11" t="s">
        <v>390</v>
      </c>
      <c r="M51" s="11" t="s">
        <v>391</v>
      </c>
      <c r="P51" s="11" t="s">
        <v>392</v>
      </c>
      <c r="Q51" s="13">
        <v>-5.0895313</v>
      </c>
      <c r="R51" s="11">
        <v>-42.773849900000002</v>
      </c>
      <c r="S51" s="12" t="s">
        <v>70</v>
      </c>
      <c r="T51" s="11" t="str">
        <f t="shared" si="0"/>
        <v>-5.0895313</v>
      </c>
      <c r="U51" s="11" t="str">
        <f t="shared" si="1"/>
        <v>-42.7738499</v>
      </c>
    </row>
    <row r="52" spans="1:21">
      <c r="A52" s="11" t="s">
        <v>395</v>
      </c>
      <c r="B52" s="11" t="s">
        <v>385</v>
      </c>
      <c r="C52" s="11">
        <v>42326357000104</v>
      </c>
      <c r="E52" s="12" t="s">
        <v>23</v>
      </c>
      <c r="F52" s="12" t="s">
        <v>396</v>
      </c>
      <c r="G52" s="11" t="s">
        <v>387</v>
      </c>
      <c r="H52" s="11">
        <v>5811</v>
      </c>
      <c r="I52" s="11" t="s">
        <v>26</v>
      </c>
      <c r="J52" s="11">
        <v>64045550</v>
      </c>
      <c r="K52" s="11" t="s">
        <v>389</v>
      </c>
      <c r="L52" s="11" t="s">
        <v>390</v>
      </c>
      <c r="M52" s="11" t="s">
        <v>391</v>
      </c>
      <c r="P52" s="11" t="s">
        <v>392</v>
      </c>
      <c r="Q52" s="13">
        <v>-5.0895313</v>
      </c>
      <c r="R52" s="11">
        <v>-42.773849900000002</v>
      </c>
      <c r="S52" s="12" t="s">
        <v>70</v>
      </c>
      <c r="T52" s="11" t="str">
        <f t="shared" si="0"/>
        <v>-5.0895313</v>
      </c>
      <c r="U52" s="11" t="str">
        <f t="shared" si="1"/>
        <v>-42.7738499</v>
      </c>
    </row>
    <row r="53" spans="1:21">
      <c r="A53" s="11" t="s">
        <v>397</v>
      </c>
      <c r="B53" s="11" t="s">
        <v>385</v>
      </c>
      <c r="C53" s="11">
        <v>42326357000104</v>
      </c>
      <c r="E53" s="12" t="s">
        <v>23</v>
      </c>
      <c r="F53" s="12" t="s">
        <v>398</v>
      </c>
      <c r="G53" s="11" t="s">
        <v>387</v>
      </c>
      <c r="H53" s="11">
        <v>5811</v>
      </c>
      <c r="I53" s="11" t="s">
        <v>26</v>
      </c>
      <c r="J53" s="11">
        <v>64045550</v>
      </c>
      <c r="K53" s="11" t="s">
        <v>389</v>
      </c>
      <c r="L53" s="11" t="s">
        <v>390</v>
      </c>
      <c r="M53" s="11" t="s">
        <v>391</v>
      </c>
      <c r="P53" s="11" t="s">
        <v>392</v>
      </c>
      <c r="Q53" s="13">
        <v>-5.0895313</v>
      </c>
      <c r="R53" s="11">
        <v>-42.773849900000002</v>
      </c>
      <c r="S53" s="12" t="s">
        <v>70</v>
      </c>
      <c r="T53" s="11" t="str">
        <f t="shared" si="0"/>
        <v>-5.0895313</v>
      </c>
      <c r="U53" s="11" t="str">
        <f t="shared" si="1"/>
        <v>-42.7738499</v>
      </c>
    </row>
    <row r="54" spans="1:21">
      <c r="A54" s="11" t="s">
        <v>399</v>
      </c>
      <c r="B54" s="11" t="s">
        <v>400</v>
      </c>
      <c r="C54" s="11">
        <v>42668141000127</v>
      </c>
      <c r="E54" s="12" t="s">
        <v>23</v>
      </c>
      <c r="F54" s="12" t="s">
        <v>401</v>
      </c>
      <c r="G54" s="11" t="s">
        <v>402</v>
      </c>
      <c r="H54" s="11" t="s">
        <v>291</v>
      </c>
      <c r="I54" s="11" t="s">
        <v>26</v>
      </c>
      <c r="J54" s="11">
        <v>32655505</v>
      </c>
      <c r="K54" s="11" t="s">
        <v>389</v>
      </c>
      <c r="L54" s="11" t="s">
        <v>403</v>
      </c>
      <c r="M54" s="11" t="s">
        <v>404</v>
      </c>
      <c r="P54" s="11" t="s">
        <v>405</v>
      </c>
      <c r="Q54" s="13">
        <v>-19.963597799999999</v>
      </c>
      <c r="R54" s="11">
        <v>-44.1680189</v>
      </c>
      <c r="S54" s="12" t="s">
        <v>70</v>
      </c>
      <c r="T54" s="11" t="str">
        <f t="shared" si="0"/>
        <v>-19.9635978</v>
      </c>
      <c r="U54" s="11" t="str">
        <f t="shared" si="1"/>
        <v>-44.1680189</v>
      </c>
    </row>
    <row r="55" spans="1:21">
      <c r="A55" s="11" t="s">
        <v>406</v>
      </c>
      <c r="B55" s="11" t="s">
        <v>245</v>
      </c>
      <c r="C55" s="11">
        <v>34854383000772</v>
      </c>
      <c r="E55" s="12" t="s">
        <v>23</v>
      </c>
      <c r="F55" s="12" t="s">
        <v>407</v>
      </c>
      <c r="G55" s="11" t="s">
        <v>408</v>
      </c>
      <c r="H55" s="11">
        <v>1465</v>
      </c>
      <c r="I55" s="11" t="s">
        <v>409</v>
      </c>
      <c r="J55" s="11">
        <v>5145907</v>
      </c>
      <c r="K55" s="11" t="s">
        <v>410</v>
      </c>
      <c r="L55" s="11" t="s">
        <v>411</v>
      </c>
      <c r="M55" s="11" t="s">
        <v>78</v>
      </c>
      <c r="P55" s="11" t="s">
        <v>412</v>
      </c>
      <c r="Q55" s="13">
        <v>-23.547499999999999</v>
      </c>
      <c r="R55" s="11">
        <v>-46.636110000000002</v>
      </c>
      <c r="S55" s="12" t="s">
        <v>70</v>
      </c>
      <c r="T55" s="11" t="str">
        <f t="shared" si="0"/>
        <v>-23.5475</v>
      </c>
      <c r="U55" s="11" t="str">
        <f t="shared" si="1"/>
        <v>-46.63611</v>
      </c>
    </row>
    <row r="56" spans="1:21">
      <c r="A56" s="11" t="s">
        <v>413</v>
      </c>
      <c r="B56" s="11" t="s">
        <v>72</v>
      </c>
      <c r="C56" s="11">
        <v>34863330000203</v>
      </c>
      <c r="E56" s="12" t="s">
        <v>23</v>
      </c>
      <c r="F56" s="12" t="s">
        <v>414</v>
      </c>
      <c r="G56" s="11" t="s">
        <v>415</v>
      </c>
      <c r="H56" s="11">
        <v>23</v>
      </c>
      <c r="I56" s="11" t="s">
        <v>416</v>
      </c>
      <c r="J56" s="11">
        <v>1048900</v>
      </c>
      <c r="K56" s="11" t="s">
        <v>39</v>
      </c>
      <c r="L56" s="11" t="s">
        <v>411</v>
      </c>
      <c r="M56" s="11" t="s">
        <v>78</v>
      </c>
      <c r="P56" s="11" t="s">
        <v>417</v>
      </c>
      <c r="Q56" s="13">
        <v>-23.381930000000001</v>
      </c>
      <c r="R56" s="11">
        <v>-48.722650000000002</v>
      </c>
      <c r="S56" s="12" t="s">
        <v>70</v>
      </c>
      <c r="T56" s="11" t="str">
        <f t="shared" si="0"/>
        <v>-23.38193</v>
      </c>
      <c r="U56" s="11" t="str">
        <f t="shared" si="1"/>
        <v>-48.72265</v>
      </c>
    </row>
    <row r="57" spans="1:21">
      <c r="A57" s="11" t="s">
        <v>418</v>
      </c>
      <c r="B57" s="11" t="s">
        <v>245</v>
      </c>
      <c r="C57" s="11">
        <v>34854383000268</v>
      </c>
      <c r="E57" s="12" t="s">
        <v>23</v>
      </c>
      <c r="F57" s="12" t="s">
        <v>419</v>
      </c>
      <c r="G57" s="11" t="s">
        <v>420</v>
      </c>
      <c r="H57" s="11">
        <v>91</v>
      </c>
      <c r="I57" s="11" t="s">
        <v>421</v>
      </c>
      <c r="J57" s="11">
        <v>3306900</v>
      </c>
      <c r="K57" s="11" t="s">
        <v>422</v>
      </c>
      <c r="L57" s="11" t="s">
        <v>411</v>
      </c>
      <c r="M57" s="11" t="s">
        <v>78</v>
      </c>
      <c r="P57" s="13" t="s">
        <v>423</v>
      </c>
      <c r="Q57" s="13">
        <v>-2.3541998722378E+16</v>
      </c>
      <c r="R57" s="14">
        <v>-4657654450740500</v>
      </c>
      <c r="S57" s="12" t="s">
        <v>283</v>
      </c>
      <c r="T57" s="11" t="str">
        <f t="shared" si="0"/>
        <v>-23541998722378000</v>
      </c>
      <c r="U57" s="11" t="str">
        <f t="shared" si="1"/>
        <v>-4657654450740500</v>
      </c>
    </row>
    <row r="58" spans="1:21">
      <c r="A58" s="11" t="s">
        <v>424</v>
      </c>
      <c r="B58" s="11" t="s">
        <v>425</v>
      </c>
      <c r="C58" s="11">
        <v>28308538000187</v>
      </c>
      <c r="E58" s="12" t="s">
        <v>23</v>
      </c>
      <c r="F58" s="12" t="s">
        <v>426</v>
      </c>
      <c r="G58" s="11" t="s">
        <v>427</v>
      </c>
      <c r="H58" s="11">
        <v>49</v>
      </c>
      <c r="I58" s="11" t="s">
        <v>428</v>
      </c>
      <c r="J58" s="11">
        <v>45700000</v>
      </c>
      <c r="K58" s="11" t="s">
        <v>39</v>
      </c>
      <c r="L58" s="11" t="s">
        <v>427</v>
      </c>
      <c r="M58" s="11" t="s">
        <v>86</v>
      </c>
      <c r="P58" s="11" t="s">
        <v>429</v>
      </c>
      <c r="Q58" s="13" t="s">
        <v>430</v>
      </c>
      <c r="R58" s="11" t="s">
        <v>431</v>
      </c>
      <c r="S58" s="12" t="s">
        <v>33</v>
      </c>
      <c r="T58" s="11" t="str">
        <f t="shared" si="0"/>
        <v>-15.2454478</v>
      </c>
      <c r="U58" s="11" t="str">
        <f t="shared" si="1"/>
        <v>-40.2460053</v>
      </c>
    </row>
    <row r="59" spans="1:21">
      <c r="A59" s="11" t="s">
        <v>432</v>
      </c>
      <c r="B59" s="11" t="s">
        <v>433</v>
      </c>
      <c r="C59" s="11">
        <v>42807814000182</v>
      </c>
      <c r="E59" s="12" t="s">
        <v>23</v>
      </c>
      <c r="F59" s="12" t="s">
        <v>434</v>
      </c>
      <c r="G59" s="11" t="s">
        <v>435</v>
      </c>
      <c r="H59" s="11">
        <v>4335</v>
      </c>
      <c r="I59" s="11" t="s">
        <v>26</v>
      </c>
      <c r="J59" s="11">
        <v>60811341</v>
      </c>
      <c r="K59" s="11" t="s">
        <v>436</v>
      </c>
      <c r="L59" s="11" t="s">
        <v>437</v>
      </c>
      <c r="M59" s="11" t="s">
        <v>354</v>
      </c>
      <c r="P59" s="11" t="s">
        <v>438</v>
      </c>
      <c r="Q59" s="13">
        <v>-3.7578681</v>
      </c>
      <c r="R59" s="11">
        <v>-38.487802799999997</v>
      </c>
      <c r="S59" s="12" t="s">
        <v>70</v>
      </c>
      <c r="T59" s="11" t="str">
        <f t="shared" si="0"/>
        <v>-3.7578681</v>
      </c>
      <c r="U59" s="11" t="str">
        <f t="shared" si="1"/>
        <v>-38.4878028</v>
      </c>
    </row>
    <row r="60" spans="1:21">
      <c r="A60" s="11" t="s">
        <v>439</v>
      </c>
      <c r="B60" s="11" t="s">
        <v>440</v>
      </c>
      <c r="C60" s="11">
        <v>43135867000167</v>
      </c>
      <c r="E60" s="12" t="s">
        <v>23</v>
      </c>
      <c r="F60" s="12" t="s">
        <v>441</v>
      </c>
      <c r="G60" s="11" t="s">
        <v>442</v>
      </c>
      <c r="H60" s="11">
        <v>370</v>
      </c>
      <c r="I60" s="11" t="s">
        <v>26</v>
      </c>
      <c r="J60" s="11">
        <v>48540000</v>
      </c>
      <c r="K60" s="11" t="s">
        <v>39</v>
      </c>
      <c r="L60" s="11" t="s">
        <v>442</v>
      </c>
      <c r="M60" s="11" t="s">
        <v>86</v>
      </c>
      <c r="P60" s="11" t="s">
        <v>443</v>
      </c>
      <c r="Q60" s="13">
        <v>-10.0673762</v>
      </c>
      <c r="R60" s="11">
        <v>-38.350880199999999</v>
      </c>
      <c r="S60" s="12" t="s">
        <v>70</v>
      </c>
      <c r="T60" s="11" t="str">
        <f t="shared" si="0"/>
        <v>-10.0673762</v>
      </c>
      <c r="U60" s="11" t="str">
        <f t="shared" si="1"/>
        <v>-38.3508802</v>
      </c>
    </row>
    <row r="61" spans="1:21">
      <c r="A61" s="11" t="s">
        <v>444</v>
      </c>
      <c r="B61" s="11" t="s">
        <v>445</v>
      </c>
      <c r="C61" s="11">
        <v>42493447000190</v>
      </c>
      <c r="E61" s="12" t="s">
        <v>23</v>
      </c>
      <c r="F61" s="12" t="s">
        <v>446</v>
      </c>
      <c r="G61" s="11" t="s">
        <v>447</v>
      </c>
      <c r="H61" s="11">
        <v>430</v>
      </c>
      <c r="I61" s="11" t="s">
        <v>448</v>
      </c>
      <c r="J61" s="11">
        <v>60010280</v>
      </c>
      <c r="K61" s="11" t="s">
        <v>449</v>
      </c>
      <c r="L61" s="11" t="s">
        <v>437</v>
      </c>
      <c r="M61" s="11" t="s">
        <v>354</v>
      </c>
      <c r="P61" s="11" t="s">
        <v>450</v>
      </c>
      <c r="Q61" s="13" t="s">
        <v>451</v>
      </c>
      <c r="R61" s="11" t="s">
        <v>452</v>
      </c>
      <c r="S61" s="12" t="s">
        <v>33</v>
      </c>
      <c r="T61" s="11" t="str">
        <f t="shared" si="0"/>
        <v>-3.7203182</v>
      </c>
      <c r="U61" s="11" t="str">
        <f t="shared" si="1"/>
        <v>-38.5414107</v>
      </c>
    </row>
    <row r="62" spans="1:21">
      <c r="A62" s="11" t="s">
        <v>453</v>
      </c>
      <c r="B62" s="11" t="s">
        <v>454</v>
      </c>
      <c r="C62" s="11">
        <v>35063837000164</v>
      </c>
      <c r="E62" s="12" t="s">
        <v>23</v>
      </c>
      <c r="F62" s="12" t="s">
        <v>455</v>
      </c>
      <c r="G62" s="11" t="s">
        <v>456</v>
      </c>
      <c r="H62" s="11" t="s">
        <v>291</v>
      </c>
      <c r="I62" s="11" t="s">
        <v>26</v>
      </c>
      <c r="J62" s="11">
        <v>68514300</v>
      </c>
      <c r="K62" s="11" t="s">
        <v>457</v>
      </c>
      <c r="L62" s="11" t="s">
        <v>458</v>
      </c>
      <c r="M62" s="11" t="s">
        <v>225</v>
      </c>
      <c r="P62" s="11" t="s">
        <v>459</v>
      </c>
      <c r="Q62" s="13">
        <v>-1.6555899999999999</v>
      </c>
      <c r="R62" s="11">
        <v>-54.817459999999997</v>
      </c>
      <c r="S62" s="12" t="s">
        <v>70</v>
      </c>
      <c r="T62" s="11" t="str">
        <f t="shared" si="0"/>
        <v>-1.65559</v>
      </c>
      <c r="U62" s="11" t="str">
        <f t="shared" si="1"/>
        <v>-54.81746</v>
      </c>
    </row>
    <row r="63" spans="1:21">
      <c r="A63" s="11" t="s">
        <v>460</v>
      </c>
      <c r="B63" s="11" t="s">
        <v>461</v>
      </c>
      <c r="C63" s="11">
        <v>42991518000184</v>
      </c>
      <c r="E63" s="12" t="s">
        <v>23</v>
      </c>
      <c r="F63" s="12" t="s">
        <v>462</v>
      </c>
      <c r="G63" s="11" t="s">
        <v>463</v>
      </c>
      <c r="H63" s="11">
        <v>3840</v>
      </c>
      <c r="I63" s="11" t="s">
        <v>464</v>
      </c>
      <c r="J63" s="11">
        <v>60840285</v>
      </c>
      <c r="K63" s="11" t="s">
        <v>465</v>
      </c>
      <c r="L63" s="11" t="s">
        <v>437</v>
      </c>
      <c r="M63" s="11" t="s">
        <v>354</v>
      </c>
      <c r="P63" s="11" t="s">
        <v>466</v>
      </c>
      <c r="Q63" s="13" t="s">
        <v>467</v>
      </c>
      <c r="R63" s="11" t="s">
        <v>468</v>
      </c>
      <c r="S63" s="12" t="s">
        <v>33</v>
      </c>
      <c r="T63" s="11" t="str">
        <f t="shared" si="0"/>
        <v>-3.8196177</v>
      </c>
      <c r="U63" s="11" t="str">
        <f t="shared" si="1"/>
        <v>-38.4963629</v>
      </c>
    </row>
    <row r="64" spans="1:21">
      <c r="A64" s="11" t="s">
        <v>469</v>
      </c>
      <c r="B64" s="11" t="s">
        <v>470</v>
      </c>
      <c r="C64" s="11">
        <v>34481516000117</v>
      </c>
      <c r="E64" s="12" t="s">
        <v>23</v>
      </c>
      <c r="F64" s="12" t="s">
        <v>471</v>
      </c>
      <c r="G64" s="11" t="s">
        <v>472</v>
      </c>
      <c r="H64" s="11">
        <v>1000</v>
      </c>
      <c r="I64" s="11" t="s">
        <v>473</v>
      </c>
      <c r="J64" s="11">
        <v>64046902</v>
      </c>
      <c r="K64" s="11" t="s">
        <v>474</v>
      </c>
      <c r="L64" s="11" t="s">
        <v>390</v>
      </c>
      <c r="M64" s="11" t="s">
        <v>391</v>
      </c>
      <c r="P64" s="11" t="s">
        <v>475</v>
      </c>
      <c r="Q64" s="13" t="s">
        <v>476</v>
      </c>
      <c r="R64" s="11" t="s">
        <v>477</v>
      </c>
      <c r="S64" s="12" t="s">
        <v>33</v>
      </c>
      <c r="T64" s="11" t="str">
        <f t="shared" si="0"/>
        <v>-5.0847235</v>
      </c>
      <c r="U64" s="11" t="str">
        <f t="shared" si="1"/>
        <v>-42.7900370</v>
      </c>
    </row>
    <row r="65" spans="1:21">
      <c r="A65" s="11" t="s">
        <v>478</v>
      </c>
      <c r="B65" s="11" t="s">
        <v>245</v>
      </c>
      <c r="C65" s="11">
        <v>34854383000934</v>
      </c>
      <c r="E65" s="12" t="s">
        <v>23</v>
      </c>
      <c r="F65" s="12" t="s">
        <v>479</v>
      </c>
      <c r="G65" s="11" t="s">
        <v>480</v>
      </c>
      <c r="H65" s="11">
        <v>22540</v>
      </c>
      <c r="I65" s="11" t="s">
        <v>481</v>
      </c>
      <c r="J65" s="11">
        <v>4795921</v>
      </c>
      <c r="K65" s="11" t="s">
        <v>482</v>
      </c>
      <c r="L65" s="11" t="s">
        <v>411</v>
      </c>
      <c r="M65" s="11" t="s">
        <v>78</v>
      </c>
      <c r="P65" s="11" t="s">
        <v>483</v>
      </c>
      <c r="Q65" s="13">
        <v>-22.897220000000001</v>
      </c>
      <c r="R65" s="11">
        <v>-47.857779999999998</v>
      </c>
      <c r="S65" s="12" t="s">
        <v>70</v>
      </c>
      <c r="T65" s="11" t="str">
        <f t="shared" si="0"/>
        <v>-22.89722</v>
      </c>
      <c r="U65" s="11" t="str">
        <f t="shared" si="1"/>
        <v>-47.85778</v>
      </c>
    </row>
    <row r="66" spans="1:21">
      <c r="A66" s="11" t="s">
        <v>484</v>
      </c>
      <c r="B66" s="11" t="s">
        <v>54</v>
      </c>
      <c r="C66" s="11">
        <v>33703574000266</v>
      </c>
      <c r="E66" s="12" t="s">
        <v>23</v>
      </c>
      <c r="F66" s="12" t="s">
        <v>55</v>
      </c>
      <c r="G66" s="11" t="s">
        <v>485</v>
      </c>
      <c r="H66" s="11">
        <v>100</v>
      </c>
      <c r="I66" s="11" t="s">
        <v>486</v>
      </c>
      <c r="J66" s="11">
        <v>56304920</v>
      </c>
      <c r="K66" s="11" t="s">
        <v>39</v>
      </c>
      <c r="L66" s="11" t="s">
        <v>58</v>
      </c>
      <c r="M66" s="11" t="s">
        <v>29</v>
      </c>
      <c r="P66" s="11" t="s">
        <v>487</v>
      </c>
      <c r="Q66" s="13">
        <v>-9.3940356000000005</v>
      </c>
      <c r="R66" s="11">
        <v>-40.492529900000001</v>
      </c>
      <c r="S66" s="12" t="s">
        <v>70</v>
      </c>
      <c r="T66" s="11" t="str">
        <f t="shared" ref="T66:T129" si="2">SUBSTITUTE(Q:Q,",",".")</f>
        <v>-9.3940356</v>
      </c>
      <c r="U66" s="11" t="str">
        <f t="shared" ref="U66:U129" si="3">SUBSTITUTE(R:R,",",".")</f>
        <v>-40.4925299</v>
      </c>
    </row>
    <row r="67" spans="1:21">
      <c r="A67" s="11" t="s">
        <v>488</v>
      </c>
      <c r="B67" s="11" t="s">
        <v>245</v>
      </c>
      <c r="C67" s="11">
        <v>34854383001159</v>
      </c>
      <c r="E67" s="12" t="s">
        <v>23</v>
      </c>
      <c r="F67" s="12" t="s">
        <v>489</v>
      </c>
      <c r="G67" s="11" t="s">
        <v>490</v>
      </c>
      <c r="H67" s="11" t="s">
        <v>129</v>
      </c>
      <c r="I67" s="11" t="s">
        <v>26</v>
      </c>
      <c r="J67" s="11">
        <v>8220030</v>
      </c>
      <c r="K67" s="11" t="s">
        <v>491</v>
      </c>
      <c r="L67" s="11" t="s">
        <v>77</v>
      </c>
      <c r="M67" s="11" t="s">
        <v>78</v>
      </c>
      <c r="P67" s="11" t="s">
        <v>492</v>
      </c>
      <c r="Q67" s="13">
        <v>-23.587983399999999</v>
      </c>
      <c r="R67" s="11">
        <v>-46.633002900000001</v>
      </c>
      <c r="S67" s="12" t="s">
        <v>70</v>
      </c>
      <c r="T67" s="11" t="str">
        <f t="shared" si="2"/>
        <v>-23.5879834</v>
      </c>
      <c r="U67" s="11" t="str">
        <f t="shared" si="3"/>
        <v>-46.6330029</v>
      </c>
    </row>
    <row r="68" spans="1:21">
      <c r="A68" s="11" t="s">
        <v>493</v>
      </c>
      <c r="B68" s="11" t="s">
        <v>494</v>
      </c>
      <c r="C68" s="11">
        <v>30479180000105</v>
      </c>
      <c r="E68" s="12" t="s">
        <v>23</v>
      </c>
      <c r="F68" s="12" t="s">
        <v>495</v>
      </c>
      <c r="G68" s="11" t="s">
        <v>496</v>
      </c>
      <c r="H68" s="11">
        <v>761</v>
      </c>
      <c r="I68" s="11" t="s">
        <v>497</v>
      </c>
      <c r="J68" s="11">
        <v>56180000</v>
      </c>
      <c r="K68" s="11" t="s">
        <v>39</v>
      </c>
      <c r="L68" s="11" t="s">
        <v>496</v>
      </c>
      <c r="M68" s="11" t="s">
        <v>29</v>
      </c>
      <c r="P68" s="11" t="s">
        <v>498</v>
      </c>
      <c r="Q68" s="13" t="s">
        <v>499</v>
      </c>
      <c r="R68" s="11" t="s">
        <v>500</v>
      </c>
      <c r="S68" s="12" t="s">
        <v>33</v>
      </c>
      <c r="T68" s="11" t="str">
        <f t="shared" si="2"/>
        <v>-8.5083701</v>
      </c>
      <c r="U68" s="11" t="str">
        <f t="shared" si="3"/>
        <v>-39.3106961</v>
      </c>
    </row>
    <row r="69" spans="1:21">
      <c r="A69" s="11" t="s">
        <v>501</v>
      </c>
      <c r="B69" s="11" t="s">
        <v>502</v>
      </c>
      <c r="C69" s="11">
        <v>43403315000192</v>
      </c>
      <c r="E69" s="12" t="s">
        <v>23</v>
      </c>
      <c r="F69" s="12" t="s">
        <v>503</v>
      </c>
      <c r="G69" s="11" t="s">
        <v>504</v>
      </c>
      <c r="H69" s="11">
        <v>17</v>
      </c>
      <c r="I69" s="11" t="s">
        <v>305</v>
      </c>
      <c r="J69" s="11">
        <v>49290000</v>
      </c>
      <c r="K69" s="11" t="s">
        <v>39</v>
      </c>
      <c r="L69" s="11" t="s">
        <v>505</v>
      </c>
      <c r="M69" s="11" t="s">
        <v>49</v>
      </c>
      <c r="P69" s="11" t="s">
        <v>506</v>
      </c>
      <c r="Q69" s="13">
        <v>-11.27389</v>
      </c>
      <c r="R69" s="11">
        <v>-37.79</v>
      </c>
      <c r="S69" s="12" t="s">
        <v>70</v>
      </c>
      <c r="T69" s="11" t="str">
        <f t="shared" si="2"/>
        <v>-11.27389</v>
      </c>
      <c r="U69" s="11" t="str">
        <f t="shared" si="3"/>
        <v>-37.79</v>
      </c>
    </row>
    <row r="70" spans="1:21">
      <c r="A70" s="11" t="s">
        <v>507</v>
      </c>
      <c r="B70" s="11" t="s">
        <v>508</v>
      </c>
      <c r="C70" s="11">
        <v>40025054000126</v>
      </c>
      <c r="E70" s="12" t="s">
        <v>23</v>
      </c>
      <c r="F70" s="12" t="s">
        <v>302</v>
      </c>
      <c r="G70" s="11" t="s">
        <v>509</v>
      </c>
      <c r="H70" s="11">
        <v>13</v>
      </c>
      <c r="I70" s="11" t="s">
        <v>286</v>
      </c>
      <c r="J70" s="11">
        <v>65050845</v>
      </c>
      <c r="K70" s="11" t="s">
        <v>510</v>
      </c>
      <c r="L70" s="11" t="s">
        <v>511</v>
      </c>
      <c r="M70" s="11" t="s">
        <v>281</v>
      </c>
      <c r="P70" s="11" t="s">
        <v>512</v>
      </c>
      <c r="Q70" s="13">
        <v>-2.5416280000000002</v>
      </c>
      <c r="R70" s="11">
        <v>-44.212755399999999</v>
      </c>
      <c r="S70" s="12" t="s">
        <v>70</v>
      </c>
      <c r="T70" s="11" t="str">
        <f t="shared" si="2"/>
        <v>-2.541628</v>
      </c>
      <c r="U70" s="11" t="str">
        <f t="shared" si="3"/>
        <v>-44.2127554</v>
      </c>
    </row>
    <row r="71" spans="1:21">
      <c r="A71" s="11" t="s">
        <v>513</v>
      </c>
      <c r="B71" s="11" t="s">
        <v>514</v>
      </c>
      <c r="C71" s="11">
        <v>35977205000106</v>
      </c>
      <c r="E71" s="12" t="s">
        <v>23</v>
      </c>
      <c r="F71" s="12" t="s">
        <v>339</v>
      </c>
      <c r="G71" s="11" t="s">
        <v>340</v>
      </c>
      <c r="H71" s="11">
        <v>1377</v>
      </c>
      <c r="I71" s="11" t="s">
        <v>26</v>
      </c>
      <c r="J71" s="11">
        <v>59037820</v>
      </c>
      <c r="K71" s="11" t="s">
        <v>342</v>
      </c>
      <c r="L71" s="11" t="s">
        <v>343</v>
      </c>
      <c r="M71" s="11" t="s">
        <v>215</v>
      </c>
      <c r="P71" s="11" t="s">
        <v>344</v>
      </c>
      <c r="Q71" s="13" t="s">
        <v>345</v>
      </c>
      <c r="R71" s="11" t="s">
        <v>346</v>
      </c>
      <c r="S71" s="12" t="s">
        <v>33</v>
      </c>
      <c r="T71" s="11" t="str">
        <f t="shared" si="2"/>
        <v>-5.7966771</v>
      </c>
      <c r="U71" s="11" t="str">
        <f t="shared" si="3"/>
        <v>-35.2191101</v>
      </c>
    </row>
    <row r="72" spans="1:21">
      <c r="A72" s="11" t="s">
        <v>515</v>
      </c>
      <c r="B72" s="11" t="s">
        <v>516</v>
      </c>
      <c r="C72" s="11">
        <v>43670632000175</v>
      </c>
      <c r="E72" s="12" t="s">
        <v>23</v>
      </c>
      <c r="F72" s="12" t="s">
        <v>517</v>
      </c>
      <c r="G72" s="11" t="s">
        <v>518</v>
      </c>
      <c r="H72" s="11" t="s">
        <v>291</v>
      </c>
      <c r="I72" s="11" t="s">
        <v>26</v>
      </c>
      <c r="J72" s="11">
        <v>20221250</v>
      </c>
      <c r="K72" s="11" t="s">
        <v>39</v>
      </c>
      <c r="L72" s="11" t="s">
        <v>313</v>
      </c>
      <c r="M72" s="11" t="s">
        <v>68</v>
      </c>
      <c r="P72" s="11" t="s">
        <v>519</v>
      </c>
      <c r="Q72" s="13" t="s">
        <v>520</v>
      </c>
      <c r="R72" s="11" t="s">
        <v>521</v>
      </c>
      <c r="S72" s="12" t="s">
        <v>33</v>
      </c>
      <c r="T72" s="11" t="str">
        <f t="shared" si="2"/>
        <v>-22.9037860</v>
      </c>
      <c r="U72" s="11" t="str">
        <f t="shared" si="3"/>
        <v>-43.1905669</v>
      </c>
    </row>
    <row r="73" spans="1:21">
      <c r="A73" s="11" t="s">
        <v>522</v>
      </c>
      <c r="B73" s="11" t="s">
        <v>523</v>
      </c>
      <c r="C73" s="11">
        <v>43751538000140</v>
      </c>
      <c r="E73" s="12" t="s">
        <v>23</v>
      </c>
      <c r="F73" s="12" t="s">
        <v>524</v>
      </c>
      <c r="G73" s="11" t="s">
        <v>525</v>
      </c>
      <c r="H73" s="11">
        <v>22</v>
      </c>
      <c r="I73" s="11" t="s">
        <v>526</v>
      </c>
      <c r="J73" s="11">
        <v>44430622</v>
      </c>
      <c r="K73" s="11" t="s">
        <v>527</v>
      </c>
      <c r="L73" s="11" t="s">
        <v>528</v>
      </c>
      <c r="M73" s="11" t="s">
        <v>86</v>
      </c>
      <c r="P73" s="11" t="s">
        <v>529</v>
      </c>
      <c r="Q73" s="13">
        <v>-12.96889</v>
      </c>
      <c r="R73" s="11">
        <v>-39.261389999999999</v>
      </c>
      <c r="S73" s="12" t="s">
        <v>70</v>
      </c>
      <c r="T73" s="11" t="str">
        <f t="shared" si="2"/>
        <v>-12.96889</v>
      </c>
      <c r="U73" s="11" t="str">
        <f t="shared" si="3"/>
        <v>-39.26139</v>
      </c>
    </row>
    <row r="74" spans="1:21">
      <c r="A74" s="11" t="s">
        <v>530</v>
      </c>
      <c r="B74" s="11" t="s">
        <v>531</v>
      </c>
      <c r="C74" s="11">
        <v>43930778000102</v>
      </c>
      <c r="E74" s="12" t="s">
        <v>23</v>
      </c>
      <c r="F74" s="12" t="s">
        <v>532</v>
      </c>
      <c r="G74" s="11" t="s">
        <v>533</v>
      </c>
      <c r="H74" s="11">
        <v>1263</v>
      </c>
      <c r="I74" s="11" t="s">
        <v>26</v>
      </c>
      <c r="J74" s="11">
        <v>97015015</v>
      </c>
      <c r="K74" s="11" t="s">
        <v>39</v>
      </c>
      <c r="L74" s="11" t="s">
        <v>534</v>
      </c>
      <c r="M74" s="11" t="s">
        <v>535</v>
      </c>
      <c r="P74" s="11" t="s">
        <v>536</v>
      </c>
      <c r="Q74" s="13" t="s">
        <v>537</v>
      </c>
      <c r="R74" s="11" t="s">
        <v>538</v>
      </c>
      <c r="S74" s="12" t="s">
        <v>33</v>
      </c>
      <c r="T74" s="11" t="str">
        <f t="shared" si="2"/>
        <v>-29.6866230</v>
      </c>
      <c r="U74" s="11" t="str">
        <f t="shared" si="3"/>
        <v>-53.8082995</v>
      </c>
    </row>
    <row r="75" spans="1:21">
      <c r="A75" s="11" t="s">
        <v>539</v>
      </c>
      <c r="B75" s="11" t="s">
        <v>22</v>
      </c>
      <c r="C75" s="11">
        <v>32683222000223</v>
      </c>
      <c r="E75" s="12" t="s">
        <v>23</v>
      </c>
      <c r="F75" s="12" t="s">
        <v>134</v>
      </c>
      <c r="G75" s="11" t="s">
        <v>540</v>
      </c>
      <c r="H75" s="11">
        <v>251</v>
      </c>
      <c r="I75" s="11" t="s">
        <v>541</v>
      </c>
      <c r="J75" s="11">
        <v>51110160</v>
      </c>
      <c r="K75" s="11" t="s">
        <v>542</v>
      </c>
      <c r="L75" s="11" t="s">
        <v>28</v>
      </c>
      <c r="M75" s="11" t="s">
        <v>29</v>
      </c>
      <c r="P75" s="11" t="s">
        <v>543</v>
      </c>
      <c r="Q75" s="13" t="s">
        <v>544</v>
      </c>
      <c r="R75" s="11" t="s">
        <v>545</v>
      </c>
      <c r="S75" s="12" t="s">
        <v>33</v>
      </c>
      <c r="T75" s="11" t="str">
        <f t="shared" si="2"/>
        <v>-8.0869199</v>
      </c>
      <c r="U75" s="11" t="str">
        <f t="shared" si="3"/>
        <v>-34.8910955</v>
      </c>
    </row>
    <row r="76" spans="1:21">
      <c r="A76" s="11" t="s">
        <v>546</v>
      </c>
      <c r="B76" s="11" t="s">
        <v>508</v>
      </c>
      <c r="C76" s="11">
        <v>40025054000126</v>
      </c>
      <c r="E76" s="12" t="s">
        <v>23</v>
      </c>
      <c r="F76" s="12" t="s">
        <v>547</v>
      </c>
      <c r="G76" s="11" t="s">
        <v>509</v>
      </c>
      <c r="H76" s="11">
        <v>13</v>
      </c>
      <c r="I76" s="11" t="s">
        <v>26</v>
      </c>
      <c r="J76" s="11">
        <v>65050845</v>
      </c>
      <c r="K76" s="11" t="s">
        <v>510</v>
      </c>
      <c r="L76" s="11" t="s">
        <v>511</v>
      </c>
      <c r="M76" s="11" t="s">
        <v>281</v>
      </c>
      <c r="P76" s="11" t="s">
        <v>512</v>
      </c>
      <c r="Q76" s="13">
        <v>-2.5416280000000002</v>
      </c>
      <c r="R76" s="11">
        <v>-44.212755399999999</v>
      </c>
      <c r="S76" s="12" t="s">
        <v>70</v>
      </c>
      <c r="T76" s="11" t="str">
        <f t="shared" si="2"/>
        <v>-2.541628</v>
      </c>
      <c r="U76" s="11" t="str">
        <f t="shared" si="3"/>
        <v>-44.2127554</v>
      </c>
    </row>
    <row r="77" spans="1:21">
      <c r="A77" s="11" t="s">
        <v>548</v>
      </c>
      <c r="B77" s="11" t="s">
        <v>549</v>
      </c>
      <c r="C77" s="11">
        <v>33264877000149</v>
      </c>
      <c r="E77" s="12" t="s">
        <v>23</v>
      </c>
      <c r="F77" s="12" t="s">
        <v>550</v>
      </c>
      <c r="G77" s="11" t="s">
        <v>551</v>
      </c>
      <c r="H77" s="11">
        <v>1306</v>
      </c>
      <c r="I77" s="11" t="s">
        <v>26</v>
      </c>
      <c r="J77" s="11">
        <v>53130515</v>
      </c>
      <c r="K77" s="11" t="s">
        <v>552</v>
      </c>
      <c r="L77" s="11" t="s">
        <v>553</v>
      </c>
      <c r="M77" s="11" t="s">
        <v>29</v>
      </c>
      <c r="P77" s="11" t="s">
        <v>554</v>
      </c>
      <c r="Q77" s="13" t="s">
        <v>555</v>
      </c>
      <c r="R77" s="11" t="s">
        <v>556</v>
      </c>
      <c r="S77" s="12" t="s">
        <v>33</v>
      </c>
      <c r="T77" s="11" t="str">
        <f t="shared" si="2"/>
        <v>-7.9836289</v>
      </c>
      <c r="U77" s="11" t="str">
        <f t="shared" si="3"/>
        <v>-34.8381428</v>
      </c>
    </row>
    <row r="78" spans="1:21">
      <c r="A78" s="11" t="s">
        <v>557</v>
      </c>
      <c r="B78" s="11" t="s">
        <v>558</v>
      </c>
      <c r="C78" s="11">
        <v>34934739000273</v>
      </c>
      <c r="E78" s="12" t="s">
        <v>23</v>
      </c>
      <c r="F78" s="12" t="s">
        <v>55</v>
      </c>
      <c r="G78" s="11" t="s">
        <v>559</v>
      </c>
      <c r="H78" s="11">
        <v>335</v>
      </c>
      <c r="I78" s="11" t="s">
        <v>26</v>
      </c>
      <c r="J78" s="11">
        <v>56380000</v>
      </c>
      <c r="K78" s="11" t="s">
        <v>39</v>
      </c>
      <c r="L78" s="11" t="s">
        <v>559</v>
      </c>
      <c r="M78" s="11" t="s">
        <v>29</v>
      </c>
      <c r="P78" s="11" t="s">
        <v>560</v>
      </c>
      <c r="Q78" s="13" t="s">
        <v>561</v>
      </c>
      <c r="R78" s="11" t="s">
        <v>562</v>
      </c>
      <c r="S78" s="12" t="s">
        <v>33</v>
      </c>
      <c r="T78" s="11" t="str">
        <f t="shared" si="2"/>
        <v>-8.8001615</v>
      </c>
      <c r="U78" s="11" t="str">
        <f t="shared" si="3"/>
        <v>-39.8271099</v>
      </c>
    </row>
    <row r="79" spans="1:21">
      <c r="A79" s="11" t="s">
        <v>563</v>
      </c>
      <c r="B79" s="11" t="s">
        <v>564</v>
      </c>
      <c r="C79" s="11">
        <v>35233289000173</v>
      </c>
      <c r="E79" s="12" t="s">
        <v>23</v>
      </c>
      <c r="F79" s="12" t="s">
        <v>565</v>
      </c>
      <c r="G79" s="11" t="s">
        <v>566</v>
      </c>
      <c r="H79" s="11">
        <v>92</v>
      </c>
      <c r="I79" s="11" t="s">
        <v>26</v>
      </c>
      <c r="J79" s="11">
        <v>68745480</v>
      </c>
      <c r="K79" s="11" t="s">
        <v>567</v>
      </c>
      <c r="L79" s="11" t="s">
        <v>224</v>
      </c>
      <c r="M79" s="11" t="s">
        <v>225</v>
      </c>
      <c r="P79" s="11" t="s">
        <v>568</v>
      </c>
      <c r="Q79" s="13" t="s">
        <v>569</v>
      </c>
      <c r="R79" s="11" t="s">
        <v>570</v>
      </c>
      <c r="S79" s="12" t="s">
        <v>33</v>
      </c>
      <c r="T79" s="11" t="str">
        <f t="shared" si="2"/>
        <v>-1.3041445</v>
      </c>
      <c r="U79" s="11" t="str">
        <f t="shared" si="3"/>
        <v>-47.9154384</v>
      </c>
    </row>
    <row r="80" spans="1:21">
      <c r="P80" s="11"/>
    </row>
    <row r="81" spans="1:21">
      <c r="A81" s="11" t="s">
        <v>571</v>
      </c>
      <c r="B81" s="11" t="s">
        <v>572</v>
      </c>
      <c r="C81" s="11">
        <v>44018390000100</v>
      </c>
      <c r="E81" s="12" t="s">
        <v>23</v>
      </c>
      <c r="F81" s="12" t="s">
        <v>339</v>
      </c>
      <c r="G81" s="11" t="s">
        <v>573</v>
      </c>
      <c r="H81" s="11">
        <v>601</v>
      </c>
      <c r="I81" s="11" t="s">
        <v>26</v>
      </c>
      <c r="J81" s="11">
        <v>59143000</v>
      </c>
      <c r="K81" s="11" t="s">
        <v>574</v>
      </c>
      <c r="L81" s="11" t="s">
        <v>214</v>
      </c>
      <c r="M81" s="11" t="s">
        <v>354</v>
      </c>
      <c r="P81" s="11" t="s">
        <v>575</v>
      </c>
      <c r="Q81" s="13" t="s">
        <v>576</v>
      </c>
      <c r="R81" s="11" t="s">
        <v>577</v>
      </c>
      <c r="S81" s="12" t="s">
        <v>33</v>
      </c>
      <c r="T81" s="11" t="str">
        <f t="shared" si="2"/>
        <v>-5.9297960</v>
      </c>
      <c r="U81" s="11" t="str">
        <f t="shared" si="3"/>
        <v>-35.2778052</v>
      </c>
    </row>
    <row r="82" spans="1:21">
      <c r="A82" s="11" t="s">
        <v>578</v>
      </c>
      <c r="B82" s="11" t="s">
        <v>579</v>
      </c>
      <c r="C82" s="11">
        <v>35047234000179</v>
      </c>
      <c r="E82" s="12" t="s">
        <v>23</v>
      </c>
      <c r="F82" s="12" t="s">
        <v>580</v>
      </c>
      <c r="G82" s="11" t="s">
        <v>581</v>
      </c>
      <c r="H82" s="11" t="s">
        <v>291</v>
      </c>
      <c r="I82" s="11" t="s">
        <v>26</v>
      </c>
      <c r="J82" s="11">
        <v>68035000</v>
      </c>
      <c r="K82" s="11" t="s">
        <v>582</v>
      </c>
      <c r="L82" s="11" t="s">
        <v>583</v>
      </c>
      <c r="M82" s="11" t="s">
        <v>225</v>
      </c>
      <c r="P82" s="11" t="s">
        <v>584</v>
      </c>
      <c r="Q82" s="13" t="s">
        <v>585</v>
      </c>
      <c r="R82" s="11" t="s">
        <v>586</v>
      </c>
      <c r="S82" s="12" t="s">
        <v>33</v>
      </c>
      <c r="T82" s="11" t="str">
        <f t="shared" si="2"/>
        <v>-2.4467840</v>
      </c>
      <c r="U82" s="11" t="str">
        <f t="shared" si="3"/>
        <v>-54.7489493</v>
      </c>
    </row>
    <row r="83" spans="1:21">
      <c r="A83" s="11" t="s">
        <v>587</v>
      </c>
      <c r="B83" s="11" t="s">
        <v>588</v>
      </c>
      <c r="C83" s="11">
        <v>53086539000171</v>
      </c>
      <c r="E83" s="12" t="s">
        <v>23</v>
      </c>
      <c r="F83" s="12" t="s">
        <v>55</v>
      </c>
      <c r="G83" s="11" t="s">
        <v>589</v>
      </c>
      <c r="H83" s="11">
        <v>423</v>
      </c>
      <c r="I83" s="11" t="s">
        <v>590</v>
      </c>
      <c r="J83" s="11">
        <v>56318525</v>
      </c>
      <c r="K83" s="11" t="s">
        <v>591</v>
      </c>
      <c r="L83" s="11" t="s">
        <v>58</v>
      </c>
      <c r="M83" s="11" t="s">
        <v>29</v>
      </c>
      <c r="P83" s="11" t="s">
        <v>592</v>
      </c>
      <c r="Q83" s="13" t="s">
        <v>593</v>
      </c>
      <c r="R83" s="11" t="s">
        <v>594</v>
      </c>
      <c r="S83" s="12" t="s">
        <v>33</v>
      </c>
      <c r="T83" s="11" t="str">
        <f t="shared" si="2"/>
        <v>-9.3785580</v>
      </c>
      <c r="U83" s="11" t="str">
        <f t="shared" si="3"/>
        <v>-40.5345343</v>
      </c>
    </row>
    <row r="84" spans="1:21">
      <c r="A84" s="11" t="s">
        <v>595</v>
      </c>
      <c r="B84" s="11" t="s">
        <v>596</v>
      </c>
      <c r="C84" s="11">
        <v>53594187000165</v>
      </c>
      <c r="E84" s="12" t="s">
        <v>23</v>
      </c>
      <c r="F84" s="12" t="s">
        <v>55</v>
      </c>
      <c r="G84" s="11" t="s">
        <v>597</v>
      </c>
      <c r="H84" s="11" t="s">
        <v>129</v>
      </c>
      <c r="I84" s="11" t="s">
        <v>66</v>
      </c>
      <c r="J84" s="11">
        <v>48909347</v>
      </c>
      <c r="K84" s="11" t="s">
        <v>598</v>
      </c>
      <c r="L84" s="11" t="s">
        <v>171</v>
      </c>
      <c r="M84" s="11" t="s">
        <v>86</v>
      </c>
      <c r="P84" s="11" t="s">
        <v>599</v>
      </c>
      <c r="Q84" s="13">
        <v>-9.4412882000000007</v>
      </c>
      <c r="R84" s="11">
        <v>-40.4982051</v>
      </c>
      <c r="S84" s="12" t="s">
        <v>70</v>
      </c>
      <c r="T84" s="11" t="str">
        <f t="shared" si="2"/>
        <v>-9.4412882</v>
      </c>
      <c r="U84" s="11" t="str">
        <f t="shared" si="3"/>
        <v>-40.4982051</v>
      </c>
    </row>
    <row r="85" spans="1:21">
      <c r="A85" s="11" t="s">
        <v>600</v>
      </c>
      <c r="B85" s="11" t="s">
        <v>564</v>
      </c>
      <c r="C85" s="11">
        <v>35233289000173</v>
      </c>
      <c r="E85" s="12" t="s">
        <v>23</v>
      </c>
      <c r="F85" s="12" t="s">
        <v>565</v>
      </c>
      <c r="G85" s="11" t="s">
        <v>601</v>
      </c>
      <c r="H85" s="11">
        <v>323</v>
      </c>
      <c r="I85" s="11" t="s">
        <v>26</v>
      </c>
      <c r="J85" s="11">
        <v>65500000</v>
      </c>
      <c r="K85" s="11" t="s">
        <v>39</v>
      </c>
      <c r="L85" s="11" t="s">
        <v>602</v>
      </c>
      <c r="M85" s="11" t="s">
        <v>281</v>
      </c>
      <c r="P85" s="11" t="s">
        <v>603</v>
      </c>
      <c r="Q85" s="13" t="s">
        <v>604</v>
      </c>
      <c r="R85" s="11" t="s">
        <v>605</v>
      </c>
      <c r="S85" s="12" t="s">
        <v>33</v>
      </c>
      <c r="T85" s="11" t="str">
        <f t="shared" si="2"/>
        <v>-3.7416803</v>
      </c>
      <c r="U85" s="11" t="str">
        <f t="shared" si="3"/>
        <v>-43.3548006</v>
      </c>
    </row>
    <row r="86" spans="1:21">
      <c r="A86" s="11" t="s">
        <v>606</v>
      </c>
      <c r="B86" s="11" t="s">
        <v>607</v>
      </c>
      <c r="C86" s="11">
        <v>23559398000104</v>
      </c>
      <c r="E86" s="12" t="s">
        <v>23</v>
      </c>
      <c r="F86" s="12" t="s">
        <v>366</v>
      </c>
      <c r="G86" s="11" t="s">
        <v>608</v>
      </c>
      <c r="H86" s="11">
        <v>202</v>
      </c>
      <c r="I86" s="11" t="s">
        <v>26</v>
      </c>
      <c r="J86" s="11">
        <v>65911525</v>
      </c>
      <c r="K86" s="11" t="s">
        <v>609</v>
      </c>
      <c r="L86" s="11" t="s">
        <v>368</v>
      </c>
      <c r="M86" s="11" t="s">
        <v>281</v>
      </c>
      <c r="P86" s="11" t="s">
        <v>610</v>
      </c>
      <c r="Q86" s="13" t="s">
        <v>611</v>
      </c>
      <c r="R86" s="11" t="s">
        <v>612</v>
      </c>
      <c r="S86" s="12" t="s">
        <v>33</v>
      </c>
      <c r="T86" s="11" t="str">
        <f t="shared" si="2"/>
        <v>-5.4884200</v>
      </c>
      <c r="U86" s="11" t="str">
        <f t="shared" si="3"/>
        <v>-47.4608410</v>
      </c>
    </row>
    <row r="87" spans="1:21">
      <c r="A87" s="11" t="s">
        <v>613</v>
      </c>
      <c r="B87" s="11" t="s">
        <v>245</v>
      </c>
      <c r="C87" s="11">
        <v>34854383001159</v>
      </c>
      <c r="E87" s="12" t="s">
        <v>23</v>
      </c>
      <c r="F87" s="12" t="s">
        <v>614</v>
      </c>
      <c r="G87" s="11" t="s">
        <v>615</v>
      </c>
      <c r="H87" s="11" t="s">
        <v>129</v>
      </c>
      <c r="I87" s="11" t="s">
        <v>26</v>
      </c>
      <c r="J87" s="11">
        <v>8220030</v>
      </c>
      <c r="K87" s="11" t="s">
        <v>616</v>
      </c>
      <c r="L87" s="11" t="s">
        <v>77</v>
      </c>
      <c r="M87" s="11" t="s">
        <v>78</v>
      </c>
      <c r="P87" s="11" t="s">
        <v>617</v>
      </c>
      <c r="Q87" s="13">
        <v>-23.547499999999999</v>
      </c>
      <c r="R87" s="11">
        <v>-46.636110000000002</v>
      </c>
      <c r="S87" s="12" t="s">
        <v>70</v>
      </c>
      <c r="T87" s="11" t="str">
        <f t="shared" si="2"/>
        <v>-23.5475</v>
      </c>
      <c r="U87" s="11" t="str">
        <f t="shared" si="3"/>
        <v>-46.63611</v>
      </c>
    </row>
    <row r="88" spans="1:21">
      <c r="A88" s="11" t="s">
        <v>618</v>
      </c>
      <c r="B88" s="11" t="s">
        <v>619</v>
      </c>
      <c r="C88" s="11">
        <v>44466716000154</v>
      </c>
      <c r="E88" s="12" t="s">
        <v>23</v>
      </c>
      <c r="F88" s="12" t="s">
        <v>620</v>
      </c>
      <c r="G88" s="11" t="s">
        <v>621</v>
      </c>
      <c r="H88" s="11">
        <v>313</v>
      </c>
      <c r="I88" s="11" t="s">
        <v>622</v>
      </c>
      <c r="J88" s="11">
        <v>57200000</v>
      </c>
      <c r="K88" s="11" t="s">
        <v>623</v>
      </c>
      <c r="L88" s="11" t="s">
        <v>624</v>
      </c>
      <c r="M88" s="11" t="s">
        <v>147</v>
      </c>
      <c r="P88" s="11" t="s">
        <v>625</v>
      </c>
      <c r="Q88" s="13">
        <v>-10.290279999999999</v>
      </c>
      <c r="R88" s="11">
        <v>-36.586390000000002</v>
      </c>
      <c r="S88" s="12" t="s">
        <v>70</v>
      </c>
      <c r="T88" s="11" t="str">
        <f t="shared" si="2"/>
        <v>-10.29028</v>
      </c>
      <c r="U88" s="11" t="str">
        <f t="shared" si="3"/>
        <v>-36.58639</v>
      </c>
    </row>
    <row r="89" spans="1:21">
      <c r="A89" s="11" t="s">
        <v>626</v>
      </c>
      <c r="B89" s="11" t="s">
        <v>627</v>
      </c>
      <c r="C89" s="11">
        <v>44940316000139</v>
      </c>
      <c r="E89" s="12" t="s">
        <v>23</v>
      </c>
      <c r="F89" s="12" t="s">
        <v>628</v>
      </c>
      <c r="G89" s="11" t="s">
        <v>629</v>
      </c>
      <c r="H89" s="11">
        <v>400</v>
      </c>
      <c r="I89" s="11" t="s">
        <v>26</v>
      </c>
      <c r="J89" s="11">
        <v>49035500</v>
      </c>
      <c r="K89" s="11" t="s">
        <v>630</v>
      </c>
      <c r="L89" s="11" t="s">
        <v>48</v>
      </c>
      <c r="M89" s="11" t="s">
        <v>49</v>
      </c>
      <c r="P89" s="11" t="s">
        <v>631</v>
      </c>
      <c r="Q89" s="13">
        <v>-10.911110000000001</v>
      </c>
      <c r="R89" s="11">
        <v>-37.071669999999997</v>
      </c>
      <c r="S89" s="12" t="s">
        <v>70</v>
      </c>
      <c r="T89" s="11" t="str">
        <f t="shared" si="2"/>
        <v>-10.91111</v>
      </c>
      <c r="U89" s="11" t="str">
        <f t="shared" si="3"/>
        <v>-37.07167</v>
      </c>
    </row>
    <row r="90" spans="1:21">
      <c r="A90" s="11" t="s">
        <v>632</v>
      </c>
      <c r="B90" s="11" t="s">
        <v>633</v>
      </c>
      <c r="C90" s="11">
        <v>43578080000170</v>
      </c>
      <c r="E90" s="12" t="s">
        <v>23</v>
      </c>
      <c r="F90" s="12" t="s">
        <v>634</v>
      </c>
      <c r="G90" s="11" t="s">
        <v>635</v>
      </c>
      <c r="H90" s="11">
        <v>404</v>
      </c>
      <c r="I90" s="11" t="s">
        <v>26</v>
      </c>
      <c r="J90" s="11">
        <v>22735015</v>
      </c>
      <c r="K90" s="11" t="s">
        <v>636</v>
      </c>
      <c r="L90" s="11" t="s">
        <v>313</v>
      </c>
      <c r="M90" s="11" t="s">
        <v>68</v>
      </c>
      <c r="P90" s="11" t="s">
        <v>637</v>
      </c>
      <c r="Q90" s="13" t="s">
        <v>638</v>
      </c>
      <c r="R90" s="11" t="s">
        <v>639</v>
      </c>
      <c r="S90" s="12" t="s">
        <v>33</v>
      </c>
      <c r="T90" s="11" t="str">
        <f t="shared" si="2"/>
        <v>-22.9172515</v>
      </c>
      <c r="U90" s="11" t="str">
        <f t="shared" si="3"/>
        <v>-43.3613675</v>
      </c>
    </row>
    <row r="91" spans="1:21">
      <c r="A91" s="11" t="s">
        <v>640</v>
      </c>
      <c r="B91" s="11" t="s">
        <v>641</v>
      </c>
      <c r="C91" s="11">
        <v>29570244000191</v>
      </c>
      <c r="E91" s="12" t="s">
        <v>23</v>
      </c>
      <c r="F91" s="12" t="s">
        <v>642</v>
      </c>
      <c r="G91" s="11" t="s">
        <v>643</v>
      </c>
      <c r="H91" s="11">
        <v>11</v>
      </c>
      <c r="I91" s="11" t="s">
        <v>26</v>
      </c>
      <c r="J91" s="11">
        <v>77805209</v>
      </c>
      <c r="K91" s="11" t="s">
        <v>644</v>
      </c>
      <c r="L91" s="11" t="s">
        <v>645</v>
      </c>
      <c r="M91" s="11" t="s">
        <v>646</v>
      </c>
      <c r="P91" s="11" t="s">
        <v>647</v>
      </c>
      <c r="Q91" s="13" t="s">
        <v>648</v>
      </c>
      <c r="R91" s="11" t="s">
        <v>649</v>
      </c>
      <c r="S91" s="12" t="s">
        <v>33</v>
      </c>
      <c r="T91" s="11" t="str">
        <f t="shared" si="2"/>
        <v>-7.1985820</v>
      </c>
      <c r="U91" s="11" t="str">
        <f t="shared" si="3"/>
        <v>-48.2159572</v>
      </c>
    </row>
    <row r="92" spans="1:21">
      <c r="A92" s="11" t="s">
        <v>650</v>
      </c>
      <c r="B92" s="11" t="s">
        <v>651</v>
      </c>
      <c r="C92" s="11">
        <v>45751416000180</v>
      </c>
      <c r="E92" s="12" t="s">
        <v>23</v>
      </c>
      <c r="F92" s="12" t="s">
        <v>517</v>
      </c>
      <c r="G92" s="11" t="s">
        <v>652</v>
      </c>
      <c r="H92" s="11">
        <v>1</v>
      </c>
      <c r="I92" s="11" t="s">
        <v>653</v>
      </c>
      <c r="J92" s="11">
        <v>22640020</v>
      </c>
      <c r="K92" s="11" t="s">
        <v>654</v>
      </c>
      <c r="L92" s="11" t="s">
        <v>313</v>
      </c>
      <c r="M92" s="11" t="s">
        <v>68</v>
      </c>
      <c r="P92" s="11" t="s">
        <v>655</v>
      </c>
      <c r="Q92" s="13" t="s">
        <v>656</v>
      </c>
      <c r="R92" s="11" t="s">
        <v>657</v>
      </c>
      <c r="S92" s="12" t="s">
        <v>33</v>
      </c>
      <c r="T92" s="11" t="str">
        <f t="shared" si="2"/>
        <v>-23.0071312</v>
      </c>
      <c r="U92" s="11" t="str">
        <f t="shared" si="3"/>
        <v>-43.3069668</v>
      </c>
    </row>
    <row r="93" spans="1:21">
      <c r="A93" s="11" t="s">
        <v>658</v>
      </c>
      <c r="B93" s="11" t="s">
        <v>659</v>
      </c>
      <c r="C93" s="11">
        <v>44223545000132</v>
      </c>
      <c r="E93" s="12" t="s">
        <v>23</v>
      </c>
      <c r="F93" s="12" t="s">
        <v>660</v>
      </c>
      <c r="G93" s="11" t="s">
        <v>661</v>
      </c>
      <c r="H93" s="11">
        <v>36</v>
      </c>
      <c r="I93" s="11" t="s">
        <v>26</v>
      </c>
      <c r="J93" s="11">
        <v>55602020</v>
      </c>
      <c r="K93" s="11" t="s">
        <v>662</v>
      </c>
      <c r="L93" s="11" t="s">
        <v>663</v>
      </c>
      <c r="M93" s="11" t="s">
        <v>29</v>
      </c>
      <c r="P93" s="11" t="s">
        <v>664</v>
      </c>
      <c r="Q93" s="13" t="s">
        <v>665</v>
      </c>
      <c r="R93" s="11" t="s">
        <v>666</v>
      </c>
      <c r="S93" s="12" t="s">
        <v>33</v>
      </c>
      <c r="T93" s="11" t="str">
        <f t="shared" si="2"/>
        <v>-8.1160391</v>
      </c>
      <c r="U93" s="11" t="str">
        <f t="shared" si="3"/>
        <v>-35.2945132</v>
      </c>
    </row>
    <row r="94" spans="1:21">
      <c r="A94" s="11" t="s">
        <v>667</v>
      </c>
      <c r="B94" s="11" t="s">
        <v>668</v>
      </c>
      <c r="C94" s="11">
        <v>45056251000126</v>
      </c>
      <c r="E94" s="12" t="s">
        <v>23</v>
      </c>
      <c r="F94" s="12" t="s">
        <v>669</v>
      </c>
      <c r="G94" s="11" t="s">
        <v>670</v>
      </c>
      <c r="H94" s="11">
        <v>4500</v>
      </c>
      <c r="I94" s="11" t="s">
        <v>26</v>
      </c>
      <c r="J94" s="11">
        <v>3220200</v>
      </c>
      <c r="K94" s="11" t="s">
        <v>671</v>
      </c>
      <c r="L94" s="11" t="s">
        <v>77</v>
      </c>
      <c r="M94" s="11" t="s">
        <v>78</v>
      </c>
      <c r="P94" s="11" t="s">
        <v>672</v>
      </c>
      <c r="Q94" s="13">
        <v>-23.547499999999999</v>
      </c>
      <c r="R94" s="11">
        <v>-46.636110000000002</v>
      </c>
      <c r="S94" s="12" t="s">
        <v>70</v>
      </c>
      <c r="T94" s="11" t="str">
        <f t="shared" si="2"/>
        <v>-23.5475</v>
      </c>
      <c r="U94" s="11" t="str">
        <f t="shared" si="3"/>
        <v>-46.63611</v>
      </c>
    </row>
    <row r="95" spans="1:21">
      <c r="A95" s="11" t="s">
        <v>673</v>
      </c>
      <c r="B95" s="11" t="s">
        <v>674</v>
      </c>
      <c r="C95" s="11">
        <v>20673636000292</v>
      </c>
      <c r="E95" s="12" t="s">
        <v>23</v>
      </c>
      <c r="F95" s="12" t="s">
        <v>675</v>
      </c>
      <c r="G95" s="11" t="s">
        <v>676</v>
      </c>
      <c r="H95" s="11">
        <v>292</v>
      </c>
      <c r="I95" s="11" t="s">
        <v>26</v>
      </c>
      <c r="J95" s="11">
        <v>81070150</v>
      </c>
      <c r="K95" s="11" t="s">
        <v>677</v>
      </c>
      <c r="L95" s="11" t="s">
        <v>678</v>
      </c>
      <c r="M95" s="11" t="s">
        <v>679</v>
      </c>
      <c r="P95" s="11" t="s">
        <v>680</v>
      </c>
      <c r="Q95" s="13" t="s">
        <v>681</v>
      </c>
      <c r="R95" s="11" t="s">
        <v>682</v>
      </c>
      <c r="S95" s="12" t="s">
        <v>33</v>
      </c>
      <c r="T95" s="11" t="str">
        <f t="shared" si="2"/>
        <v>-25.4794535</v>
      </c>
      <c r="U95" s="11" t="str">
        <f t="shared" si="3"/>
        <v>-49.3027210</v>
      </c>
    </row>
    <row r="96" spans="1:21">
      <c r="A96" s="11" t="s">
        <v>683</v>
      </c>
      <c r="B96" s="11" t="s">
        <v>684</v>
      </c>
      <c r="C96" s="11">
        <v>42423116000183</v>
      </c>
      <c r="E96" s="12" t="s">
        <v>23</v>
      </c>
      <c r="F96" s="12" t="s">
        <v>685</v>
      </c>
      <c r="G96" s="11" t="s">
        <v>686</v>
      </c>
      <c r="H96" s="11">
        <v>2751</v>
      </c>
      <c r="I96" s="11" t="s">
        <v>687</v>
      </c>
      <c r="J96" s="11">
        <v>6455000</v>
      </c>
      <c r="K96" s="11" t="s">
        <v>688</v>
      </c>
      <c r="L96" s="11" t="s">
        <v>689</v>
      </c>
      <c r="M96" s="11" t="s">
        <v>78</v>
      </c>
      <c r="P96" s="11" t="s">
        <v>690</v>
      </c>
      <c r="Q96" s="13">
        <v>-23.510560000000002</v>
      </c>
      <c r="R96" s="11">
        <v>-46.876109999999997</v>
      </c>
      <c r="S96" s="12" t="s">
        <v>70</v>
      </c>
      <c r="T96" s="11" t="str">
        <f t="shared" si="2"/>
        <v>-23.51056</v>
      </c>
      <c r="U96" s="11" t="str">
        <f t="shared" si="3"/>
        <v>-46.87611</v>
      </c>
    </row>
    <row r="97" spans="1:21">
      <c r="A97" s="11" t="s">
        <v>691</v>
      </c>
      <c r="B97" s="11" t="s">
        <v>502</v>
      </c>
      <c r="C97" s="11">
        <v>43403315000192</v>
      </c>
      <c r="E97" s="12" t="s">
        <v>23</v>
      </c>
      <c r="F97" s="12" t="s">
        <v>503</v>
      </c>
      <c r="G97" s="11" t="s">
        <v>504</v>
      </c>
      <c r="H97" s="11">
        <v>17</v>
      </c>
      <c r="I97" s="11" t="s">
        <v>692</v>
      </c>
      <c r="J97" s="11">
        <v>49290000</v>
      </c>
      <c r="K97" s="11" t="s">
        <v>39</v>
      </c>
      <c r="L97" s="11" t="s">
        <v>505</v>
      </c>
      <c r="M97" s="11" t="s">
        <v>49</v>
      </c>
      <c r="P97" s="11" t="s">
        <v>506</v>
      </c>
      <c r="Q97" s="13">
        <v>-11.27389</v>
      </c>
      <c r="R97" s="11">
        <v>-37.79</v>
      </c>
      <c r="S97" s="12" t="s">
        <v>70</v>
      </c>
      <c r="T97" s="11" t="str">
        <f t="shared" si="2"/>
        <v>-11.27389</v>
      </c>
      <c r="U97" s="11" t="str">
        <f t="shared" si="3"/>
        <v>-37.79</v>
      </c>
    </row>
    <row r="98" spans="1:21">
      <c r="P98" s="11"/>
    </row>
    <row r="99" spans="1:21">
      <c r="A99" s="11" t="s">
        <v>693</v>
      </c>
      <c r="B99" s="11" t="s">
        <v>245</v>
      </c>
      <c r="C99" s="11">
        <v>34854383000349</v>
      </c>
      <c r="E99" s="12" t="s">
        <v>23</v>
      </c>
      <c r="F99" s="12" t="s">
        <v>694</v>
      </c>
      <c r="G99" s="11" t="s">
        <v>695</v>
      </c>
      <c r="H99" s="11">
        <v>6818</v>
      </c>
      <c r="I99" s="11" t="s">
        <v>696</v>
      </c>
      <c r="J99" s="11">
        <v>8420092</v>
      </c>
      <c r="K99" s="11" t="s">
        <v>697</v>
      </c>
      <c r="L99" s="11" t="s">
        <v>77</v>
      </c>
      <c r="M99" s="11" t="s">
        <v>78</v>
      </c>
      <c r="P99" s="11" t="s">
        <v>698</v>
      </c>
      <c r="Q99" s="13">
        <v>-23.547499999999999</v>
      </c>
      <c r="R99" s="11">
        <v>-46.636110000000002</v>
      </c>
      <c r="S99" s="12" t="s">
        <v>70</v>
      </c>
      <c r="T99" s="11" t="str">
        <f t="shared" si="2"/>
        <v>-23.5475</v>
      </c>
      <c r="U99" s="11" t="str">
        <f t="shared" si="3"/>
        <v>-46.63611</v>
      </c>
    </row>
    <row r="100" spans="1:21">
      <c r="A100" s="11" t="s">
        <v>699</v>
      </c>
      <c r="B100" s="11" t="s">
        <v>700</v>
      </c>
      <c r="C100" s="11">
        <v>29343253000140</v>
      </c>
      <c r="E100" s="12" t="s">
        <v>23</v>
      </c>
      <c r="F100" s="12" t="s">
        <v>701</v>
      </c>
      <c r="G100" s="11" t="s">
        <v>702</v>
      </c>
      <c r="H100" s="11">
        <v>244</v>
      </c>
      <c r="I100" s="11" t="s">
        <v>26</v>
      </c>
      <c r="J100" s="11">
        <v>2863090</v>
      </c>
      <c r="K100" s="11" t="s">
        <v>703</v>
      </c>
      <c r="L100" s="11" t="s">
        <v>77</v>
      </c>
      <c r="M100" s="11" t="s">
        <v>78</v>
      </c>
      <c r="P100" s="11" t="s">
        <v>704</v>
      </c>
      <c r="Q100" s="13">
        <v>-23.547499999999999</v>
      </c>
      <c r="R100" s="11">
        <v>-46.636110000000002</v>
      </c>
      <c r="S100" s="12" t="s">
        <v>70</v>
      </c>
      <c r="T100" s="11" t="str">
        <f t="shared" si="2"/>
        <v>-23.5475</v>
      </c>
      <c r="U100" s="11" t="str">
        <f t="shared" si="3"/>
        <v>-46.63611</v>
      </c>
    </row>
    <row r="101" spans="1:21">
      <c r="A101" s="11" t="s">
        <v>705</v>
      </c>
      <c r="B101" s="11" t="s">
        <v>245</v>
      </c>
      <c r="C101" s="11">
        <v>34854383000691</v>
      </c>
      <c r="E101" s="12" t="s">
        <v>23</v>
      </c>
      <c r="F101" s="12" t="s">
        <v>706</v>
      </c>
      <c r="G101" s="11" t="s">
        <v>707</v>
      </c>
      <c r="H101" s="11">
        <v>1</v>
      </c>
      <c r="I101" s="11" t="s">
        <v>708</v>
      </c>
      <c r="J101" s="11">
        <v>9390040</v>
      </c>
      <c r="K101" s="11" t="s">
        <v>39</v>
      </c>
      <c r="L101" s="11" t="s">
        <v>709</v>
      </c>
      <c r="M101" s="11" t="s">
        <v>78</v>
      </c>
      <c r="P101" s="11" t="s">
        <v>710</v>
      </c>
      <c r="Q101" s="13">
        <v>-23.66778</v>
      </c>
      <c r="R101" s="11">
        <v>-46.461390000000002</v>
      </c>
      <c r="S101" s="12" t="s">
        <v>70</v>
      </c>
      <c r="T101" s="11" t="str">
        <f t="shared" si="2"/>
        <v>-23.66778</v>
      </c>
      <c r="U101" s="11" t="str">
        <f t="shared" si="3"/>
        <v>-46.46139</v>
      </c>
    </row>
    <row r="102" spans="1:21">
      <c r="A102" s="11" t="s">
        <v>711</v>
      </c>
      <c r="B102" s="11" t="s">
        <v>245</v>
      </c>
      <c r="C102" s="11">
        <v>34854383000772</v>
      </c>
      <c r="E102" s="12" t="s">
        <v>23</v>
      </c>
      <c r="F102" s="12" t="s">
        <v>712</v>
      </c>
      <c r="G102" s="11" t="s">
        <v>713</v>
      </c>
      <c r="H102" s="11">
        <v>3779</v>
      </c>
      <c r="I102" s="11" t="s">
        <v>714</v>
      </c>
      <c r="J102" s="11">
        <v>5145907</v>
      </c>
      <c r="K102" s="11" t="s">
        <v>715</v>
      </c>
      <c r="L102" s="11" t="s">
        <v>411</v>
      </c>
      <c r="M102" s="11" t="s">
        <v>78</v>
      </c>
      <c r="P102" s="11" t="s">
        <v>412</v>
      </c>
      <c r="Q102" s="13">
        <v>-22.558890000000002</v>
      </c>
      <c r="R102" s="11">
        <v>-47.38861</v>
      </c>
      <c r="S102" s="12" t="s">
        <v>70</v>
      </c>
      <c r="T102" s="11" t="str">
        <f t="shared" si="2"/>
        <v>-22.55889</v>
      </c>
      <c r="U102" s="11" t="str">
        <f t="shared" si="3"/>
        <v>-47.38861</v>
      </c>
    </row>
    <row r="103" spans="1:21">
      <c r="A103" s="11" t="s">
        <v>716</v>
      </c>
      <c r="B103" s="11" t="s">
        <v>717</v>
      </c>
      <c r="C103" s="11">
        <v>45632465000101</v>
      </c>
      <c r="E103" s="12" t="s">
        <v>23</v>
      </c>
      <c r="F103" s="12" t="s">
        <v>718</v>
      </c>
      <c r="G103" s="11" t="s">
        <v>719</v>
      </c>
      <c r="H103" s="11">
        <v>399</v>
      </c>
      <c r="I103" s="11" t="s">
        <v>720</v>
      </c>
      <c r="J103" s="11">
        <v>74063920</v>
      </c>
      <c r="K103" s="11" t="s">
        <v>721</v>
      </c>
      <c r="L103" s="11" t="s">
        <v>722</v>
      </c>
      <c r="M103" s="11" t="s">
        <v>723</v>
      </c>
      <c r="P103" s="11" t="s">
        <v>724</v>
      </c>
      <c r="Q103" s="13">
        <v>-16.6599507</v>
      </c>
      <c r="R103" s="11">
        <v>-49.257756899999997</v>
      </c>
      <c r="S103" s="12" t="s">
        <v>70</v>
      </c>
      <c r="T103" s="11" t="str">
        <f t="shared" si="2"/>
        <v>-16.6599507</v>
      </c>
      <c r="U103" s="11" t="str">
        <f t="shared" si="3"/>
        <v>-49.2577569</v>
      </c>
    </row>
    <row r="104" spans="1:21">
      <c r="A104" s="11" t="s">
        <v>725</v>
      </c>
      <c r="B104" s="11" t="s">
        <v>726</v>
      </c>
      <c r="C104" s="11">
        <v>45618579000199</v>
      </c>
      <c r="E104" s="12" t="s">
        <v>23</v>
      </c>
      <c r="F104" s="12" t="s">
        <v>718</v>
      </c>
      <c r="G104" s="11" t="s">
        <v>727</v>
      </c>
      <c r="H104" s="11">
        <v>14404</v>
      </c>
      <c r="I104" s="11" t="s">
        <v>728</v>
      </c>
      <c r="J104" s="11">
        <v>74450010</v>
      </c>
      <c r="K104" s="11" t="s">
        <v>729</v>
      </c>
      <c r="L104" s="11" t="s">
        <v>722</v>
      </c>
      <c r="M104" s="11" t="s">
        <v>723</v>
      </c>
      <c r="P104" s="11" t="s">
        <v>730</v>
      </c>
      <c r="Q104" s="13" t="s">
        <v>731</v>
      </c>
      <c r="R104" s="11" t="s">
        <v>732</v>
      </c>
      <c r="S104" s="12" t="s">
        <v>33</v>
      </c>
      <c r="T104" s="11" t="str">
        <f t="shared" si="2"/>
        <v>-16.6620438</v>
      </c>
      <c r="U104" s="11" t="str">
        <f t="shared" si="3"/>
        <v>-49.3235433</v>
      </c>
    </row>
    <row r="105" spans="1:21">
      <c r="A105" s="11" t="s">
        <v>733</v>
      </c>
      <c r="B105" s="11" t="s">
        <v>734</v>
      </c>
      <c r="C105" s="11">
        <v>45538116000117</v>
      </c>
      <c r="E105" s="12" t="s">
        <v>23</v>
      </c>
      <c r="F105" s="12" t="s">
        <v>735</v>
      </c>
      <c r="G105" s="11" t="s">
        <v>254</v>
      </c>
      <c r="H105" s="11">
        <v>341</v>
      </c>
      <c r="I105" s="11" t="s">
        <v>736</v>
      </c>
      <c r="J105" s="11">
        <v>68900070</v>
      </c>
      <c r="K105" s="11" t="s">
        <v>255</v>
      </c>
      <c r="L105" s="11" t="s">
        <v>256</v>
      </c>
      <c r="M105" s="11" t="s">
        <v>257</v>
      </c>
      <c r="P105" s="11" t="s">
        <v>258</v>
      </c>
      <c r="Q105" s="13" t="s">
        <v>259</v>
      </c>
      <c r="R105" s="11" t="s">
        <v>260</v>
      </c>
      <c r="S105" s="12" t="s">
        <v>33</v>
      </c>
      <c r="T105" s="11" t="str">
        <f t="shared" si="2"/>
        <v>0.0384522</v>
      </c>
      <c r="U105" s="11" t="str">
        <f t="shared" si="3"/>
        <v>-51.0630850</v>
      </c>
    </row>
    <row r="106" spans="1:21">
      <c r="A106" s="11" t="s">
        <v>737</v>
      </c>
      <c r="B106" s="11" t="s">
        <v>738</v>
      </c>
      <c r="C106" s="11">
        <v>45309330000100</v>
      </c>
      <c r="E106" s="12" t="s">
        <v>23</v>
      </c>
      <c r="F106" s="12" t="s">
        <v>718</v>
      </c>
      <c r="G106" s="11" t="s">
        <v>739</v>
      </c>
      <c r="H106" s="11">
        <v>11833</v>
      </c>
      <c r="I106" s="11" t="s">
        <v>26</v>
      </c>
      <c r="J106" s="11">
        <v>31744007</v>
      </c>
      <c r="K106" s="11" t="s">
        <v>740</v>
      </c>
      <c r="L106" s="11" t="s">
        <v>741</v>
      </c>
      <c r="M106" s="11" t="s">
        <v>404</v>
      </c>
      <c r="P106" s="11" t="s">
        <v>742</v>
      </c>
      <c r="Q106" s="13">
        <v>-19.828317899999998</v>
      </c>
      <c r="R106" s="11">
        <v>-43.942271599999998</v>
      </c>
      <c r="S106" s="12" t="s">
        <v>70</v>
      </c>
      <c r="T106" s="11" t="str">
        <f t="shared" si="2"/>
        <v>-19.8283179</v>
      </c>
      <c r="U106" s="11" t="str">
        <f t="shared" si="3"/>
        <v>-43.9422716</v>
      </c>
    </row>
    <row r="107" spans="1:21">
      <c r="P107" s="11"/>
    </row>
    <row r="108" spans="1:21">
      <c r="A108" s="11" t="s">
        <v>743</v>
      </c>
      <c r="B108" s="11" t="s">
        <v>744</v>
      </c>
      <c r="C108" s="11">
        <v>45686798000105</v>
      </c>
      <c r="E108" s="12" t="s">
        <v>23</v>
      </c>
      <c r="F108" s="12" t="s">
        <v>718</v>
      </c>
      <c r="G108" s="11" t="s">
        <v>745</v>
      </c>
      <c r="H108" s="11">
        <v>7</v>
      </c>
      <c r="I108" s="11" t="s">
        <v>746</v>
      </c>
      <c r="J108" s="11">
        <v>72015901</v>
      </c>
      <c r="K108" s="11" t="s">
        <v>747</v>
      </c>
      <c r="L108" s="11" t="s">
        <v>748</v>
      </c>
      <c r="M108" s="11" t="s">
        <v>749</v>
      </c>
      <c r="P108" s="11" t="s">
        <v>750</v>
      </c>
      <c r="Q108" s="13">
        <v>-15.7951841</v>
      </c>
      <c r="R108" s="11">
        <v>-47.892718100000003</v>
      </c>
      <c r="S108" s="12" t="s">
        <v>70</v>
      </c>
      <c r="T108" s="11" t="str">
        <f t="shared" si="2"/>
        <v>-15.7951841</v>
      </c>
      <c r="U108" s="11" t="str">
        <f t="shared" si="3"/>
        <v>-47.8927181</v>
      </c>
    </row>
    <row r="109" spans="1:21">
      <c r="A109" s="11" t="s">
        <v>751</v>
      </c>
      <c r="B109" s="11" t="s">
        <v>385</v>
      </c>
      <c r="C109" s="11">
        <v>45513533000105</v>
      </c>
      <c r="E109" s="12" t="s">
        <v>23</v>
      </c>
      <c r="F109" s="12" t="s">
        <v>434</v>
      </c>
      <c r="G109" s="11" t="s">
        <v>752</v>
      </c>
      <c r="H109" s="11">
        <v>3133</v>
      </c>
      <c r="I109" s="11" t="s">
        <v>753</v>
      </c>
      <c r="J109" s="11">
        <v>41820021</v>
      </c>
      <c r="K109" s="11" t="s">
        <v>754</v>
      </c>
      <c r="L109" s="11" t="s">
        <v>755</v>
      </c>
      <c r="M109" s="11" t="s">
        <v>86</v>
      </c>
      <c r="P109" s="11" t="s">
        <v>756</v>
      </c>
      <c r="Q109" s="13" t="s">
        <v>757</v>
      </c>
      <c r="R109" s="11" t="s">
        <v>758</v>
      </c>
      <c r="S109" s="12" t="s">
        <v>33</v>
      </c>
      <c r="T109" s="11" t="str">
        <f t="shared" si="2"/>
        <v>-12.9809961</v>
      </c>
      <c r="U109" s="11" t="str">
        <f t="shared" si="3"/>
        <v>-38.4651783</v>
      </c>
    </row>
    <row r="110" spans="1:21">
      <c r="A110" s="11" t="s">
        <v>759</v>
      </c>
      <c r="B110" s="11" t="s">
        <v>760</v>
      </c>
      <c r="C110" s="11">
        <v>45513756000172</v>
      </c>
      <c r="E110" s="12" t="s">
        <v>23</v>
      </c>
      <c r="F110" s="12" t="s">
        <v>434</v>
      </c>
      <c r="G110" s="11" t="s">
        <v>761</v>
      </c>
      <c r="H110" s="11">
        <v>305</v>
      </c>
      <c r="I110" s="11" t="s">
        <v>26</v>
      </c>
      <c r="J110" s="11">
        <v>41510000</v>
      </c>
      <c r="K110" s="11" t="s">
        <v>762</v>
      </c>
      <c r="L110" s="11" t="s">
        <v>755</v>
      </c>
      <c r="M110" s="11" t="s">
        <v>86</v>
      </c>
      <c r="P110" s="11" t="s">
        <v>763</v>
      </c>
      <c r="Q110" s="13">
        <v>-12.905457200000001</v>
      </c>
      <c r="R110" s="11">
        <v>-38.355500999999997</v>
      </c>
      <c r="S110" s="12" t="s">
        <v>70</v>
      </c>
      <c r="T110" s="11" t="str">
        <f t="shared" si="2"/>
        <v>-12.9054572</v>
      </c>
      <c r="U110" s="11" t="str">
        <f t="shared" si="3"/>
        <v>-38.355501</v>
      </c>
    </row>
    <row r="111" spans="1:21">
      <c r="A111" s="11" t="s">
        <v>764</v>
      </c>
      <c r="B111" s="11" t="s">
        <v>245</v>
      </c>
      <c r="C111" s="11">
        <v>34854383001230</v>
      </c>
      <c r="E111" s="12" t="s">
        <v>23</v>
      </c>
      <c r="F111" s="12" t="s">
        <v>765</v>
      </c>
      <c r="G111" s="11" t="s">
        <v>766</v>
      </c>
      <c r="H111" s="11">
        <v>200</v>
      </c>
      <c r="I111" s="11" t="s">
        <v>26</v>
      </c>
      <c r="J111" s="11">
        <v>9750902</v>
      </c>
      <c r="K111" s="11" t="s">
        <v>39</v>
      </c>
      <c r="L111" s="11" t="s">
        <v>767</v>
      </c>
      <c r="M111" s="11" t="s">
        <v>78</v>
      </c>
      <c r="P111" s="11" t="s">
        <v>768</v>
      </c>
      <c r="Q111" s="13">
        <v>-23.696629999999999</v>
      </c>
      <c r="R111" s="11">
        <v>-46.5517015</v>
      </c>
      <c r="S111" s="12" t="s">
        <v>70</v>
      </c>
      <c r="T111" s="11" t="str">
        <f t="shared" si="2"/>
        <v>-23.69663</v>
      </c>
      <c r="U111" s="11" t="str">
        <f t="shared" si="3"/>
        <v>-46.5517015</v>
      </c>
    </row>
    <row r="112" spans="1:21">
      <c r="A112" s="11" t="s">
        <v>769</v>
      </c>
      <c r="B112" s="11" t="s">
        <v>262</v>
      </c>
      <c r="C112" s="11">
        <v>31445469000168</v>
      </c>
      <c r="E112" s="12" t="s">
        <v>23</v>
      </c>
      <c r="F112" s="12" t="s">
        <v>263</v>
      </c>
      <c r="G112" s="11" t="s">
        <v>770</v>
      </c>
      <c r="H112" s="11">
        <v>671</v>
      </c>
      <c r="I112" s="11" t="s">
        <v>771</v>
      </c>
      <c r="J112" s="11">
        <v>56506100</v>
      </c>
      <c r="K112" s="11" t="s">
        <v>39</v>
      </c>
      <c r="L112" s="11" t="s">
        <v>772</v>
      </c>
      <c r="M112" s="11" t="s">
        <v>29</v>
      </c>
      <c r="P112" s="11" t="s">
        <v>773</v>
      </c>
      <c r="Q112" s="13" t="s">
        <v>774</v>
      </c>
      <c r="R112" s="11" t="s">
        <v>775</v>
      </c>
      <c r="S112" s="12" t="s">
        <v>33</v>
      </c>
      <c r="T112" s="11" t="str">
        <f t="shared" si="2"/>
        <v>-8.4195852</v>
      </c>
      <c r="U112" s="11" t="str">
        <f t="shared" si="3"/>
        <v>-37.0533833</v>
      </c>
    </row>
    <row r="113" spans="1:21">
      <c r="A113" s="11" t="s">
        <v>776</v>
      </c>
      <c r="B113" s="11" t="s">
        <v>777</v>
      </c>
      <c r="C113" s="11">
        <v>45637843000131</v>
      </c>
      <c r="E113" s="12" t="s">
        <v>23</v>
      </c>
      <c r="F113" s="12" t="s">
        <v>434</v>
      </c>
      <c r="G113" s="11" t="s">
        <v>778</v>
      </c>
      <c r="H113" s="11">
        <v>92</v>
      </c>
      <c r="I113" s="11" t="s">
        <v>26</v>
      </c>
      <c r="J113" s="11">
        <v>41098020</v>
      </c>
      <c r="K113" s="11" t="s">
        <v>779</v>
      </c>
      <c r="L113" s="11" t="s">
        <v>755</v>
      </c>
      <c r="M113" s="11" t="s">
        <v>86</v>
      </c>
      <c r="P113" s="11" t="s">
        <v>780</v>
      </c>
      <c r="Q113" s="13" t="s">
        <v>781</v>
      </c>
      <c r="R113" s="11" t="s">
        <v>782</v>
      </c>
      <c r="S113" s="12" t="s">
        <v>33</v>
      </c>
      <c r="T113" s="11" t="str">
        <f t="shared" si="2"/>
        <v>-12.9689357</v>
      </c>
      <c r="U113" s="11" t="str">
        <f t="shared" si="3"/>
        <v>-38.4726206</v>
      </c>
    </row>
    <row r="114" spans="1:21">
      <c r="A114" s="11" t="s">
        <v>783</v>
      </c>
      <c r="B114" s="11" t="s">
        <v>784</v>
      </c>
      <c r="C114" s="11">
        <v>36274080000110</v>
      </c>
      <c r="E114" s="12" t="s">
        <v>23</v>
      </c>
      <c r="F114" s="12" t="s">
        <v>785</v>
      </c>
      <c r="G114" s="11" t="s">
        <v>786</v>
      </c>
      <c r="H114" s="11">
        <v>17</v>
      </c>
      <c r="I114" s="11" t="s">
        <v>787</v>
      </c>
      <c r="J114" s="11">
        <v>45028190</v>
      </c>
      <c r="K114" s="11" t="s">
        <v>788</v>
      </c>
      <c r="L114" s="11" t="s">
        <v>323</v>
      </c>
      <c r="M114" s="11" t="s">
        <v>86</v>
      </c>
      <c r="P114" s="11" t="s">
        <v>789</v>
      </c>
      <c r="Q114" s="13">
        <v>-14.866110000000001</v>
      </c>
      <c r="R114" s="11">
        <v>-40.839440000000003</v>
      </c>
      <c r="S114" s="12" t="s">
        <v>70</v>
      </c>
      <c r="T114" s="11" t="str">
        <f t="shared" si="2"/>
        <v>-14.86611</v>
      </c>
      <c r="U114" s="11" t="str">
        <f t="shared" si="3"/>
        <v>-40.83944</v>
      </c>
    </row>
    <row r="115" spans="1:21">
      <c r="A115" s="11" t="s">
        <v>790</v>
      </c>
      <c r="B115" s="11" t="s">
        <v>245</v>
      </c>
      <c r="C115" s="11">
        <v>34854383001310</v>
      </c>
      <c r="E115" s="12" t="s">
        <v>23</v>
      </c>
      <c r="F115" s="12" t="s">
        <v>791</v>
      </c>
      <c r="G115" s="11" t="s">
        <v>792</v>
      </c>
      <c r="H115" s="11">
        <v>9403</v>
      </c>
      <c r="I115" s="11" t="s">
        <v>26</v>
      </c>
      <c r="J115" s="11">
        <v>12216580</v>
      </c>
      <c r="K115" s="11" t="s">
        <v>793</v>
      </c>
      <c r="L115" s="11" t="s">
        <v>794</v>
      </c>
      <c r="M115" s="11" t="s">
        <v>78</v>
      </c>
      <c r="P115" s="11" t="s">
        <v>795</v>
      </c>
      <c r="Q115" s="13">
        <v>-23.200467400000001</v>
      </c>
      <c r="R115" s="11">
        <v>-45.880606</v>
      </c>
      <c r="S115" s="12" t="s">
        <v>70</v>
      </c>
      <c r="T115" s="11" t="str">
        <f t="shared" si="2"/>
        <v>-23.2004674</v>
      </c>
      <c r="U115" s="11" t="str">
        <f t="shared" si="3"/>
        <v>-45.880606</v>
      </c>
    </row>
    <row r="116" spans="1:21">
      <c r="A116" s="11" t="s">
        <v>796</v>
      </c>
      <c r="B116" s="11" t="s">
        <v>797</v>
      </c>
      <c r="C116" s="11">
        <v>41150968000181</v>
      </c>
      <c r="E116" s="12" t="s">
        <v>23</v>
      </c>
      <c r="F116" s="12" t="s">
        <v>339</v>
      </c>
      <c r="G116" s="11" t="s">
        <v>798</v>
      </c>
      <c r="H116" s="11">
        <v>2395</v>
      </c>
      <c r="I116" s="11" t="s">
        <v>26</v>
      </c>
      <c r="J116" s="11">
        <v>55110200</v>
      </c>
      <c r="K116" s="11" t="s">
        <v>799</v>
      </c>
      <c r="L116" s="11" t="s">
        <v>343</v>
      </c>
      <c r="M116" s="11" t="s">
        <v>215</v>
      </c>
      <c r="P116" s="11" t="s">
        <v>800</v>
      </c>
      <c r="Q116" s="13">
        <v>-5.7592008999999997</v>
      </c>
      <c r="R116" s="11">
        <v>-35.246831800000002</v>
      </c>
      <c r="S116" s="12" t="s">
        <v>70</v>
      </c>
      <c r="T116" s="11" t="str">
        <f t="shared" si="2"/>
        <v>-5.7592009</v>
      </c>
      <c r="U116" s="11" t="str">
        <f t="shared" si="3"/>
        <v>-35.2468318</v>
      </c>
    </row>
    <row r="117" spans="1:21">
      <c r="P117" s="11"/>
    </row>
    <row r="118" spans="1:21" ht="13.9" customHeight="1">
      <c r="A118" s="11" t="s">
        <v>801</v>
      </c>
      <c r="B118" s="11" t="s">
        <v>245</v>
      </c>
      <c r="C118" s="11">
        <v>34854383001400</v>
      </c>
      <c r="E118" s="12" t="s">
        <v>23</v>
      </c>
      <c r="F118" s="12" t="s">
        <v>802</v>
      </c>
      <c r="G118" s="11" t="s">
        <v>803</v>
      </c>
      <c r="H118" s="11">
        <v>1700</v>
      </c>
      <c r="I118" s="11" t="s">
        <v>26</v>
      </c>
      <c r="J118" s="11">
        <v>12040000</v>
      </c>
      <c r="K118" s="11" t="s">
        <v>804</v>
      </c>
      <c r="L118" s="11" t="s">
        <v>805</v>
      </c>
      <c r="M118" s="11" t="s">
        <v>78</v>
      </c>
      <c r="P118" s="11" t="s">
        <v>806</v>
      </c>
      <c r="Q118" s="13">
        <v>-23.026389999999999</v>
      </c>
      <c r="R118" s="11">
        <v>-45.555280000000003</v>
      </c>
      <c r="S118" s="12" t="s">
        <v>70</v>
      </c>
      <c r="T118" s="11" t="str">
        <f t="shared" si="2"/>
        <v>-23.02639</v>
      </c>
      <c r="U118" s="11" t="str">
        <f t="shared" si="3"/>
        <v>-45.55528</v>
      </c>
    </row>
    <row r="119" spans="1:21">
      <c r="P119" s="11"/>
    </row>
    <row r="120" spans="1:21">
      <c r="A120" s="11" t="s">
        <v>807</v>
      </c>
      <c r="B120" s="11" t="s">
        <v>808</v>
      </c>
      <c r="C120" s="11">
        <v>35413943000120</v>
      </c>
      <c r="E120" s="12" t="s">
        <v>23</v>
      </c>
      <c r="F120" s="12" t="s">
        <v>809</v>
      </c>
      <c r="G120" s="11" t="s">
        <v>810</v>
      </c>
      <c r="H120" s="11">
        <v>212</v>
      </c>
      <c r="I120" s="11" t="s">
        <v>811</v>
      </c>
      <c r="J120" s="11">
        <v>35500009</v>
      </c>
      <c r="K120" s="11" t="s">
        <v>39</v>
      </c>
      <c r="L120" s="11" t="s">
        <v>812</v>
      </c>
      <c r="M120" s="11" t="s">
        <v>404</v>
      </c>
      <c r="P120" s="11" t="s">
        <v>813</v>
      </c>
      <c r="Q120" s="13" t="s">
        <v>814</v>
      </c>
      <c r="R120" s="11" t="s">
        <v>815</v>
      </c>
      <c r="S120" s="12" t="s">
        <v>33</v>
      </c>
      <c r="T120" s="11" t="str">
        <f t="shared" si="2"/>
        <v>-20.1421130</v>
      </c>
      <c r="U120" s="11" t="str">
        <f t="shared" si="3"/>
        <v>-44.8907592</v>
      </c>
    </row>
    <row r="121" spans="1:21">
      <c r="A121" s="11" t="s">
        <v>816</v>
      </c>
      <c r="B121" s="11" t="s">
        <v>245</v>
      </c>
      <c r="C121" s="11">
        <v>34854383000349</v>
      </c>
      <c r="E121" s="12" t="s">
        <v>23</v>
      </c>
      <c r="F121" s="12" t="s">
        <v>817</v>
      </c>
      <c r="G121" s="11" t="s">
        <v>818</v>
      </c>
      <c r="H121" s="11" t="s">
        <v>129</v>
      </c>
      <c r="I121" s="11" t="s">
        <v>819</v>
      </c>
      <c r="J121" s="11">
        <v>8420092</v>
      </c>
      <c r="K121" s="11" t="s">
        <v>820</v>
      </c>
      <c r="L121" s="11" t="s">
        <v>411</v>
      </c>
      <c r="M121" s="11" t="s">
        <v>78</v>
      </c>
      <c r="P121" s="11" t="s">
        <v>698</v>
      </c>
      <c r="Q121" s="13">
        <v>-22.733059999999998</v>
      </c>
      <c r="R121" s="11">
        <v>-47.306109999999997</v>
      </c>
      <c r="S121" s="12" t="s">
        <v>70</v>
      </c>
      <c r="T121" s="11" t="str">
        <f t="shared" si="2"/>
        <v>-22.73306</v>
      </c>
      <c r="U121" s="11" t="str">
        <f t="shared" si="3"/>
        <v>-47.30611</v>
      </c>
    </row>
    <row r="122" spans="1:21">
      <c r="A122" s="11" t="s">
        <v>821</v>
      </c>
      <c r="B122" s="11" t="s">
        <v>822</v>
      </c>
      <c r="C122" s="11">
        <v>46111980000109</v>
      </c>
      <c r="E122" s="12" t="s">
        <v>23</v>
      </c>
      <c r="F122" s="12" t="s">
        <v>823</v>
      </c>
      <c r="G122" s="11" t="s">
        <v>824</v>
      </c>
      <c r="H122" s="11">
        <v>2</v>
      </c>
      <c r="I122" s="11" t="s">
        <v>696</v>
      </c>
      <c r="J122" s="11">
        <v>65350000</v>
      </c>
      <c r="K122" s="11" t="s">
        <v>39</v>
      </c>
      <c r="L122" s="11" t="s">
        <v>825</v>
      </c>
      <c r="M122" s="11" t="s">
        <v>281</v>
      </c>
      <c r="P122" s="11" t="s">
        <v>826</v>
      </c>
      <c r="Q122" s="13">
        <v>-3.4622199999999999</v>
      </c>
      <c r="R122" s="11">
        <v>-44.870559999999998</v>
      </c>
      <c r="S122" s="12" t="s">
        <v>70</v>
      </c>
      <c r="T122" s="11" t="str">
        <f t="shared" si="2"/>
        <v>-3.46222</v>
      </c>
      <c r="U122" s="11" t="str">
        <f t="shared" si="3"/>
        <v>-44.87056</v>
      </c>
    </row>
    <row r="123" spans="1:21">
      <c r="A123" s="11" t="s">
        <v>827</v>
      </c>
      <c r="B123" s="11" t="s">
        <v>828</v>
      </c>
      <c r="C123" s="11">
        <v>39841353000150</v>
      </c>
      <c r="E123" s="12" t="s">
        <v>23</v>
      </c>
      <c r="F123" s="12" t="s">
        <v>829</v>
      </c>
      <c r="G123" s="11" t="s">
        <v>830</v>
      </c>
      <c r="H123" s="11">
        <v>336</v>
      </c>
      <c r="I123" s="11" t="s">
        <v>26</v>
      </c>
      <c r="J123" s="11">
        <v>48330000</v>
      </c>
      <c r="K123" s="11" t="s">
        <v>831</v>
      </c>
      <c r="L123" s="11" t="s">
        <v>830</v>
      </c>
      <c r="M123" s="11" t="s">
        <v>86</v>
      </c>
      <c r="P123" s="11" t="s">
        <v>832</v>
      </c>
      <c r="Q123" s="13">
        <v>-11.484719999999999</v>
      </c>
      <c r="R123" s="11">
        <v>-37.932780000000001</v>
      </c>
      <c r="S123" s="12" t="s">
        <v>70</v>
      </c>
      <c r="T123" s="11" t="str">
        <f t="shared" si="2"/>
        <v>-11.48472</v>
      </c>
      <c r="U123" s="11" t="str">
        <f t="shared" si="3"/>
        <v>-37.93278</v>
      </c>
    </row>
    <row r="124" spans="1:21">
      <c r="P124" s="11"/>
    </row>
    <row r="125" spans="1:21">
      <c r="A125" s="11" t="s">
        <v>833</v>
      </c>
      <c r="B125" s="11" t="s">
        <v>564</v>
      </c>
      <c r="C125" s="11">
        <v>35233289000254</v>
      </c>
      <c r="E125" s="12" t="s">
        <v>23</v>
      </c>
      <c r="F125" s="12" t="s">
        <v>565</v>
      </c>
      <c r="G125" s="11" t="s">
        <v>566</v>
      </c>
      <c r="H125" s="11">
        <v>92</v>
      </c>
      <c r="I125" s="11" t="s">
        <v>26</v>
      </c>
      <c r="J125" s="11">
        <v>68745480</v>
      </c>
      <c r="K125" s="11" t="s">
        <v>567</v>
      </c>
      <c r="L125" s="11" t="s">
        <v>224</v>
      </c>
      <c r="M125" s="11" t="s">
        <v>225</v>
      </c>
      <c r="P125" s="11" t="s">
        <v>568</v>
      </c>
      <c r="Q125" s="13" t="s">
        <v>569</v>
      </c>
      <c r="R125" s="11" t="s">
        <v>570</v>
      </c>
      <c r="S125" s="12" t="s">
        <v>33</v>
      </c>
      <c r="T125" s="11" t="str">
        <f t="shared" si="2"/>
        <v>-1.3041445</v>
      </c>
      <c r="U125" s="11" t="str">
        <f t="shared" si="3"/>
        <v>-47.9154384</v>
      </c>
    </row>
    <row r="126" spans="1:21">
      <c r="A126" s="11" t="s">
        <v>834</v>
      </c>
      <c r="B126" s="11" t="s">
        <v>564</v>
      </c>
      <c r="C126" s="11">
        <v>35233289000254</v>
      </c>
      <c r="E126" s="12" t="s">
        <v>23</v>
      </c>
      <c r="F126" s="12" t="s">
        <v>565</v>
      </c>
      <c r="G126" s="11" t="s">
        <v>566</v>
      </c>
      <c r="H126" s="11">
        <v>92</v>
      </c>
      <c r="I126" s="11" t="s">
        <v>26</v>
      </c>
      <c r="J126" s="11">
        <v>68745480</v>
      </c>
      <c r="K126" s="11" t="s">
        <v>567</v>
      </c>
      <c r="L126" s="11" t="s">
        <v>224</v>
      </c>
      <c r="M126" s="11" t="s">
        <v>225</v>
      </c>
      <c r="P126" s="11" t="s">
        <v>568</v>
      </c>
      <c r="Q126" s="13" t="s">
        <v>569</v>
      </c>
      <c r="R126" s="11" t="s">
        <v>570</v>
      </c>
      <c r="S126" s="12" t="s">
        <v>33</v>
      </c>
      <c r="T126" s="11" t="str">
        <f t="shared" si="2"/>
        <v>-1.3041445</v>
      </c>
      <c r="U126" s="11" t="str">
        <f t="shared" si="3"/>
        <v>-47.9154384</v>
      </c>
    </row>
    <row r="127" spans="1:21">
      <c r="A127" s="11" t="s">
        <v>835</v>
      </c>
      <c r="B127" s="11" t="s">
        <v>564</v>
      </c>
      <c r="C127" s="11">
        <v>35233289000254</v>
      </c>
      <c r="E127" s="12" t="s">
        <v>23</v>
      </c>
      <c r="F127" s="12" t="s">
        <v>565</v>
      </c>
      <c r="G127" s="11" t="s">
        <v>566</v>
      </c>
      <c r="H127" s="11">
        <v>92</v>
      </c>
      <c r="I127" s="11" t="s">
        <v>26</v>
      </c>
      <c r="J127" s="11">
        <v>68745480</v>
      </c>
      <c r="K127" s="11" t="s">
        <v>567</v>
      </c>
      <c r="L127" s="11" t="s">
        <v>224</v>
      </c>
      <c r="M127" s="11" t="s">
        <v>225</v>
      </c>
      <c r="P127" s="11" t="s">
        <v>568</v>
      </c>
      <c r="Q127" s="13" t="s">
        <v>569</v>
      </c>
      <c r="R127" s="11" t="s">
        <v>570</v>
      </c>
      <c r="S127" s="12" t="s">
        <v>33</v>
      </c>
      <c r="T127" s="11" t="str">
        <f t="shared" si="2"/>
        <v>-1.3041445</v>
      </c>
      <c r="U127" s="11" t="str">
        <f t="shared" si="3"/>
        <v>-47.9154384</v>
      </c>
    </row>
    <row r="128" spans="1:21">
      <c r="A128" s="11" t="s">
        <v>836</v>
      </c>
      <c r="B128" s="11" t="s">
        <v>245</v>
      </c>
      <c r="C128" s="11">
        <v>34854383000420</v>
      </c>
      <c r="E128" s="12" t="s">
        <v>23</v>
      </c>
      <c r="F128" s="12" t="s">
        <v>837</v>
      </c>
      <c r="G128" s="11" t="s">
        <v>838</v>
      </c>
      <c r="H128" s="11">
        <v>229</v>
      </c>
      <c r="I128" s="11" t="s">
        <v>839</v>
      </c>
      <c r="J128" s="11">
        <v>4752005</v>
      </c>
      <c r="K128" s="11" t="s">
        <v>233</v>
      </c>
      <c r="L128" s="11" t="s">
        <v>77</v>
      </c>
      <c r="M128" s="11" t="s">
        <v>78</v>
      </c>
      <c r="P128" s="11" t="s">
        <v>840</v>
      </c>
      <c r="Q128" s="13">
        <v>-23.652563399999998</v>
      </c>
      <c r="R128" s="11">
        <v>-46.710938400000003</v>
      </c>
      <c r="S128" s="12" t="s">
        <v>70</v>
      </c>
      <c r="T128" s="11" t="str">
        <f t="shared" si="2"/>
        <v>-23.6525634</v>
      </c>
      <c r="U128" s="11" t="str">
        <f t="shared" si="3"/>
        <v>-46.7109384</v>
      </c>
    </row>
    <row r="129" spans="1:21">
      <c r="A129" s="11" t="s">
        <v>841</v>
      </c>
      <c r="B129" s="11" t="s">
        <v>842</v>
      </c>
      <c r="C129" s="11">
        <v>45783280000190</v>
      </c>
      <c r="E129" s="12" t="s">
        <v>23</v>
      </c>
      <c r="F129" s="12" t="s">
        <v>302</v>
      </c>
      <c r="G129" s="11" t="s">
        <v>843</v>
      </c>
      <c r="H129" s="11">
        <v>165</v>
      </c>
      <c r="I129" s="11" t="s">
        <v>26</v>
      </c>
      <c r="J129" s="11">
        <v>40070080</v>
      </c>
      <c r="K129" s="11" t="s">
        <v>844</v>
      </c>
      <c r="L129" s="11" t="s">
        <v>755</v>
      </c>
      <c r="M129" s="11" t="s">
        <v>86</v>
      </c>
      <c r="P129" s="11" t="s">
        <v>845</v>
      </c>
      <c r="Q129" s="13" t="s">
        <v>846</v>
      </c>
      <c r="R129" s="11" t="s">
        <v>847</v>
      </c>
      <c r="S129" s="12" t="s">
        <v>33</v>
      </c>
      <c r="T129" s="11" t="str">
        <f t="shared" si="2"/>
        <v>-12.9843168</v>
      </c>
      <c r="U129" s="11" t="str">
        <f t="shared" si="3"/>
        <v>-38.5131907</v>
      </c>
    </row>
    <row r="130" spans="1:21">
      <c r="A130" s="11" t="s">
        <v>848</v>
      </c>
      <c r="B130" s="11" t="s">
        <v>849</v>
      </c>
      <c r="C130" s="11">
        <v>46343601000106</v>
      </c>
      <c r="E130" s="12" t="s">
        <v>23</v>
      </c>
      <c r="F130" s="12" t="s">
        <v>434</v>
      </c>
      <c r="G130" s="11" t="s">
        <v>850</v>
      </c>
      <c r="H130" s="11" t="s">
        <v>291</v>
      </c>
      <c r="I130" s="11" t="s">
        <v>851</v>
      </c>
      <c r="J130" s="11">
        <v>42800343</v>
      </c>
      <c r="K130" s="11" t="s">
        <v>852</v>
      </c>
      <c r="L130" s="11" t="s">
        <v>853</v>
      </c>
      <c r="M130" s="11" t="s">
        <v>86</v>
      </c>
      <c r="P130" s="11" t="s">
        <v>854</v>
      </c>
      <c r="Q130" s="13">
        <v>-12.6975</v>
      </c>
      <c r="R130" s="11">
        <v>-38.324170000000002</v>
      </c>
      <c r="S130" s="12" t="s">
        <v>70</v>
      </c>
      <c r="T130" s="11" t="str">
        <f t="shared" ref="T130:T193" si="4">SUBSTITUTE(Q:Q,",",".")</f>
        <v>-12.6975</v>
      </c>
      <c r="U130" s="11" t="str">
        <f t="shared" ref="U130:U193" si="5">SUBSTITUTE(R:R,",",".")</f>
        <v>-38.32417</v>
      </c>
    </row>
    <row r="131" spans="1:21">
      <c r="A131" s="11" t="s">
        <v>855</v>
      </c>
      <c r="B131" s="11" t="s">
        <v>842</v>
      </c>
      <c r="C131" s="11">
        <v>45783280000190</v>
      </c>
      <c r="E131" s="12" t="s">
        <v>23</v>
      </c>
      <c r="F131" s="12" t="s">
        <v>856</v>
      </c>
      <c r="G131" s="11" t="s">
        <v>843</v>
      </c>
      <c r="H131" s="11">
        <v>165</v>
      </c>
      <c r="I131" s="11" t="s">
        <v>26</v>
      </c>
      <c r="J131" s="11">
        <v>40070080</v>
      </c>
      <c r="K131" s="11" t="s">
        <v>844</v>
      </c>
      <c r="L131" s="11" t="s">
        <v>755</v>
      </c>
      <c r="M131" s="11" t="s">
        <v>86</v>
      </c>
      <c r="P131" s="11" t="s">
        <v>845</v>
      </c>
      <c r="Q131" s="13" t="s">
        <v>846</v>
      </c>
      <c r="R131" s="11" t="s">
        <v>847</v>
      </c>
      <c r="S131" s="12" t="s">
        <v>33</v>
      </c>
      <c r="T131" s="11" t="str">
        <f t="shared" si="4"/>
        <v>-12.9843168</v>
      </c>
      <c r="U131" s="11" t="str">
        <f t="shared" si="5"/>
        <v>-38.5131907</v>
      </c>
    </row>
    <row r="132" spans="1:21">
      <c r="A132" s="11" t="s">
        <v>857</v>
      </c>
      <c r="B132" s="11" t="s">
        <v>858</v>
      </c>
      <c r="C132" s="11">
        <v>33977775000170</v>
      </c>
      <c r="E132" s="12" t="s">
        <v>23</v>
      </c>
      <c r="F132" s="12" t="s">
        <v>859</v>
      </c>
      <c r="G132" s="11" t="s">
        <v>860</v>
      </c>
      <c r="H132" s="11">
        <v>180</v>
      </c>
      <c r="I132" s="11" t="s">
        <v>851</v>
      </c>
      <c r="J132" s="11">
        <v>63508120</v>
      </c>
      <c r="K132" s="11" t="s">
        <v>861</v>
      </c>
      <c r="L132" s="11" t="s">
        <v>862</v>
      </c>
      <c r="M132" s="11" t="s">
        <v>354</v>
      </c>
      <c r="P132" s="11" t="s">
        <v>863</v>
      </c>
      <c r="Q132" s="13" t="s">
        <v>864</v>
      </c>
      <c r="R132" s="11" t="s">
        <v>865</v>
      </c>
      <c r="S132" s="12" t="s">
        <v>33</v>
      </c>
      <c r="T132" s="11" t="str">
        <f t="shared" si="4"/>
        <v>-6.3479290</v>
      </c>
      <c r="U132" s="11" t="str">
        <f t="shared" si="5"/>
        <v>-39.3066907</v>
      </c>
    </row>
    <row r="133" spans="1:21">
      <c r="A133" s="11" t="s">
        <v>866</v>
      </c>
      <c r="B133" s="11" t="s">
        <v>867</v>
      </c>
      <c r="C133" s="11">
        <v>46378367000144</v>
      </c>
      <c r="E133" s="12" t="s">
        <v>23</v>
      </c>
      <c r="F133" s="12" t="s">
        <v>868</v>
      </c>
      <c r="G133" s="11" t="s">
        <v>869</v>
      </c>
      <c r="H133" s="11">
        <v>800</v>
      </c>
      <c r="I133" s="11" t="s">
        <v>870</v>
      </c>
      <c r="J133" s="11">
        <v>55024740</v>
      </c>
      <c r="K133" s="11" t="s">
        <v>871</v>
      </c>
      <c r="L133" s="11" t="s">
        <v>872</v>
      </c>
      <c r="M133" s="11" t="s">
        <v>29</v>
      </c>
      <c r="P133" s="11" t="s">
        <v>873</v>
      </c>
      <c r="Q133" s="13" t="s">
        <v>874</v>
      </c>
      <c r="R133" s="11" t="s">
        <v>875</v>
      </c>
      <c r="S133" s="12" t="s">
        <v>33</v>
      </c>
      <c r="T133" s="11" t="str">
        <f t="shared" si="4"/>
        <v>-8.2924485</v>
      </c>
      <c r="U133" s="11" t="str">
        <f t="shared" si="5"/>
        <v>-35.9554133</v>
      </c>
    </row>
    <row r="134" spans="1:21">
      <c r="A134" s="11" t="s">
        <v>876</v>
      </c>
      <c r="B134" s="11" t="s">
        <v>877</v>
      </c>
      <c r="C134" s="11">
        <v>38400831000123</v>
      </c>
      <c r="E134" s="12" t="s">
        <v>23</v>
      </c>
      <c r="F134" s="12" t="s">
        <v>878</v>
      </c>
      <c r="G134" s="11" t="s">
        <v>879</v>
      </c>
      <c r="H134" s="11">
        <v>61</v>
      </c>
      <c r="I134" s="11" t="s">
        <v>26</v>
      </c>
      <c r="J134" s="11">
        <v>55900000</v>
      </c>
      <c r="K134" s="11" t="s">
        <v>39</v>
      </c>
      <c r="L134" s="11" t="s">
        <v>880</v>
      </c>
      <c r="M134" s="11" t="s">
        <v>29</v>
      </c>
      <c r="P134" s="11" t="s">
        <v>881</v>
      </c>
      <c r="Q134" s="13" t="s">
        <v>882</v>
      </c>
      <c r="R134" s="11" t="s">
        <v>883</v>
      </c>
      <c r="S134" s="12" t="s">
        <v>33</v>
      </c>
      <c r="T134" s="11" t="str">
        <f t="shared" si="4"/>
        <v>-7.5606030</v>
      </c>
      <c r="U134" s="11" t="str">
        <f t="shared" si="5"/>
        <v>-34.9959100</v>
      </c>
    </row>
    <row r="135" spans="1:21">
      <c r="A135" s="11" t="s">
        <v>884</v>
      </c>
      <c r="B135" s="11" t="s">
        <v>433</v>
      </c>
      <c r="C135" s="11">
        <v>43232473000127</v>
      </c>
      <c r="E135" s="12" t="s">
        <v>23</v>
      </c>
      <c r="F135" s="12" t="s">
        <v>434</v>
      </c>
      <c r="G135" s="11" t="s">
        <v>885</v>
      </c>
      <c r="H135" s="11" t="s">
        <v>291</v>
      </c>
      <c r="I135" s="11" t="s">
        <v>26</v>
      </c>
      <c r="J135" s="11">
        <v>68507445</v>
      </c>
      <c r="K135" s="11" t="s">
        <v>886</v>
      </c>
      <c r="L135" s="11" t="s">
        <v>887</v>
      </c>
      <c r="M135" s="11" t="s">
        <v>225</v>
      </c>
      <c r="P135" s="11" t="s">
        <v>888</v>
      </c>
      <c r="Q135" s="13">
        <v>-5.3686100000000003</v>
      </c>
      <c r="R135" s="11">
        <v>-49.117780000000003</v>
      </c>
      <c r="S135" s="12" t="s">
        <v>70</v>
      </c>
      <c r="T135" s="11" t="str">
        <f t="shared" si="4"/>
        <v>-5.36861</v>
      </c>
      <c r="U135" s="11" t="str">
        <f t="shared" si="5"/>
        <v>-49.11778</v>
      </c>
    </row>
    <row r="136" spans="1:21">
      <c r="P136" s="11"/>
    </row>
    <row r="137" spans="1:21">
      <c r="A137" s="11" t="s">
        <v>889</v>
      </c>
      <c r="B137" s="11" t="s">
        <v>890</v>
      </c>
      <c r="C137" s="11">
        <v>45928384000145</v>
      </c>
      <c r="E137" s="12" t="s">
        <v>23</v>
      </c>
      <c r="F137" s="12" t="s">
        <v>339</v>
      </c>
      <c r="G137" s="11" t="s">
        <v>891</v>
      </c>
      <c r="H137" s="11">
        <v>3775</v>
      </c>
      <c r="I137" s="11" t="s">
        <v>892</v>
      </c>
      <c r="J137" s="11">
        <v>59015900</v>
      </c>
      <c r="K137" s="11" t="s">
        <v>893</v>
      </c>
      <c r="L137" s="11" t="s">
        <v>343</v>
      </c>
      <c r="M137" s="11" t="s">
        <v>215</v>
      </c>
      <c r="P137" s="11" t="s">
        <v>894</v>
      </c>
      <c r="Q137" s="13">
        <v>-5.7916699999999999</v>
      </c>
      <c r="R137" s="11">
        <v>-35.200000000000003</v>
      </c>
      <c r="S137" s="12" t="s">
        <v>70</v>
      </c>
      <c r="T137" s="11" t="str">
        <f t="shared" si="4"/>
        <v>-5.79167</v>
      </c>
      <c r="U137" s="11" t="str">
        <f t="shared" si="5"/>
        <v>-35.2</v>
      </c>
    </row>
    <row r="138" spans="1:21">
      <c r="A138" s="11" t="s">
        <v>895</v>
      </c>
      <c r="B138" s="11" t="s">
        <v>674</v>
      </c>
      <c r="C138" s="11">
        <v>20673636000373</v>
      </c>
      <c r="E138" s="12" t="s">
        <v>23</v>
      </c>
      <c r="F138" s="12" t="s">
        <v>896</v>
      </c>
      <c r="G138" s="11" t="s">
        <v>897</v>
      </c>
      <c r="H138" s="11">
        <v>4984</v>
      </c>
      <c r="I138" s="11" t="s">
        <v>26</v>
      </c>
      <c r="J138" s="11">
        <v>81630000</v>
      </c>
      <c r="K138" s="11" t="s">
        <v>898</v>
      </c>
      <c r="L138" s="11" t="s">
        <v>678</v>
      </c>
      <c r="M138" s="11" t="s">
        <v>679</v>
      </c>
      <c r="P138" s="11" t="s">
        <v>899</v>
      </c>
      <c r="Q138" s="13" t="s">
        <v>900</v>
      </c>
      <c r="R138" s="11" t="s">
        <v>901</v>
      </c>
      <c r="S138" s="12" t="s">
        <v>33</v>
      </c>
      <c r="T138" s="11" t="str">
        <f t="shared" si="4"/>
        <v>-25.4775397</v>
      </c>
      <c r="U138" s="11" t="str">
        <f t="shared" si="5"/>
        <v>-49.2490959</v>
      </c>
    </row>
    <row r="139" spans="1:21">
      <c r="A139" s="11" t="s">
        <v>902</v>
      </c>
      <c r="B139" s="11" t="s">
        <v>903</v>
      </c>
      <c r="C139" s="11">
        <v>45341885000392</v>
      </c>
      <c r="E139" s="12" t="s">
        <v>23</v>
      </c>
      <c r="F139" s="12" t="s">
        <v>904</v>
      </c>
      <c r="G139" s="11" t="s">
        <v>905</v>
      </c>
      <c r="H139" s="11">
        <v>400</v>
      </c>
      <c r="I139" s="11" t="s">
        <v>906</v>
      </c>
      <c r="J139" s="11">
        <v>21920445</v>
      </c>
      <c r="K139" s="11" t="s">
        <v>907</v>
      </c>
      <c r="L139" s="11" t="s">
        <v>313</v>
      </c>
      <c r="M139" s="11" t="s">
        <v>68</v>
      </c>
      <c r="P139" s="11" t="s">
        <v>908</v>
      </c>
      <c r="Q139" s="13" t="s">
        <v>909</v>
      </c>
      <c r="R139" s="11" t="s">
        <v>910</v>
      </c>
      <c r="S139" s="12" t="s">
        <v>33</v>
      </c>
      <c r="T139" s="11" t="str">
        <f t="shared" si="4"/>
        <v>-22.8024348</v>
      </c>
      <c r="U139" s="11" t="str">
        <f t="shared" si="5"/>
        <v>-43.2028445</v>
      </c>
    </row>
    <row r="140" spans="1:21">
      <c r="A140" s="11" t="s">
        <v>911</v>
      </c>
      <c r="B140" s="11" t="s">
        <v>912</v>
      </c>
      <c r="C140" s="11">
        <v>46364996000115</v>
      </c>
      <c r="E140" s="12" t="s">
        <v>23</v>
      </c>
      <c r="F140" s="12" t="s">
        <v>913</v>
      </c>
      <c r="G140" s="11" t="s">
        <v>914</v>
      </c>
      <c r="H140" s="11">
        <v>200</v>
      </c>
      <c r="I140" s="11" t="s">
        <v>915</v>
      </c>
      <c r="J140" s="11">
        <v>29050420</v>
      </c>
      <c r="K140" s="11" t="s">
        <v>916</v>
      </c>
      <c r="L140" s="11" t="s">
        <v>917</v>
      </c>
      <c r="M140" s="11" t="s">
        <v>918</v>
      </c>
      <c r="P140" s="11" t="s">
        <v>919</v>
      </c>
      <c r="Q140" s="13" t="s">
        <v>920</v>
      </c>
      <c r="R140" s="11" t="s">
        <v>921</v>
      </c>
      <c r="S140" s="12" t="s">
        <v>33</v>
      </c>
      <c r="T140" s="11" t="str">
        <f t="shared" si="4"/>
        <v>-20.3107862</v>
      </c>
      <c r="U140" s="11" t="str">
        <f t="shared" si="5"/>
        <v>-40.2893467</v>
      </c>
    </row>
    <row r="141" spans="1:21">
      <c r="A141" s="11" t="s">
        <v>922</v>
      </c>
      <c r="B141" s="11" t="s">
        <v>923</v>
      </c>
      <c r="C141" s="11">
        <v>36713716000183</v>
      </c>
      <c r="E141" s="12" t="s">
        <v>23</v>
      </c>
      <c r="F141" s="12" t="s">
        <v>924</v>
      </c>
      <c r="G141" s="11" t="s">
        <v>925</v>
      </c>
      <c r="H141" s="11">
        <v>873</v>
      </c>
      <c r="I141" s="11" t="s">
        <v>926</v>
      </c>
      <c r="J141" s="11">
        <v>65631390</v>
      </c>
      <c r="K141" s="11" t="s">
        <v>927</v>
      </c>
      <c r="L141" s="11" t="s">
        <v>928</v>
      </c>
      <c r="M141" s="11" t="s">
        <v>281</v>
      </c>
      <c r="P141" s="11" t="s">
        <v>929</v>
      </c>
      <c r="Q141" s="13" t="s">
        <v>930</v>
      </c>
      <c r="R141" s="11" t="s">
        <v>931</v>
      </c>
      <c r="S141" s="12" t="s">
        <v>33</v>
      </c>
      <c r="T141" s="11" t="str">
        <f t="shared" si="4"/>
        <v>-5.0966487</v>
      </c>
      <c r="U141" s="11" t="str">
        <f t="shared" si="5"/>
        <v>-42.8314036</v>
      </c>
    </row>
    <row r="142" spans="1:21">
      <c r="A142" s="11" t="s">
        <v>932</v>
      </c>
      <c r="B142" s="11" t="s">
        <v>842</v>
      </c>
      <c r="C142" s="11">
        <v>46672910000111</v>
      </c>
      <c r="E142" s="12" t="s">
        <v>23</v>
      </c>
      <c r="F142" s="12" t="s">
        <v>434</v>
      </c>
      <c r="G142" s="11" t="s">
        <v>933</v>
      </c>
      <c r="H142" s="11" t="s">
        <v>291</v>
      </c>
      <c r="I142" s="11" t="s">
        <v>934</v>
      </c>
      <c r="J142" s="11">
        <v>68515000</v>
      </c>
      <c r="K142" s="11" t="s">
        <v>306</v>
      </c>
      <c r="L142" s="11" t="s">
        <v>303</v>
      </c>
      <c r="M142" s="11" t="s">
        <v>225</v>
      </c>
      <c r="P142" s="11" t="s">
        <v>307</v>
      </c>
      <c r="Q142" s="13">
        <v>-6.0674999999999999</v>
      </c>
      <c r="R142" s="11">
        <v>-49.90222</v>
      </c>
      <c r="S142" s="12" t="s">
        <v>70</v>
      </c>
      <c r="T142" s="11" t="str">
        <f t="shared" si="4"/>
        <v>-6.0675</v>
      </c>
      <c r="U142" s="11" t="str">
        <f t="shared" si="5"/>
        <v>-49.90222</v>
      </c>
    </row>
    <row r="143" spans="1:21">
      <c r="A143" s="11" t="s">
        <v>935</v>
      </c>
      <c r="B143" s="11" t="s">
        <v>461</v>
      </c>
      <c r="C143" s="11">
        <v>42991518000184</v>
      </c>
      <c r="E143" s="12" t="s">
        <v>23</v>
      </c>
      <c r="F143" s="12" t="s">
        <v>434</v>
      </c>
      <c r="G143" s="11" t="s">
        <v>463</v>
      </c>
      <c r="H143" s="11">
        <v>3840</v>
      </c>
      <c r="I143" s="11" t="s">
        <v>936</v>
      </c>
      <c r="J143" s="11">
        <v>60840285</v>
      </c>
      <c r="K143" s="11" t="s">
        <v>465</v>
      </c>
      <c r="L143" s="11" t="s">
        <v>437</v>
      </c>
      <c r="M143" s="11" t="s">
        <v>354</v>
      </c>
      <c r="P143" s="11" t="s">
        <v>466</v>
      </c>
      <c r="Q143" s="13" t="s">
        <v>467</v>
      </c>
      <c r="R143" s="11" t="s">
        <v>468</v>
      </c>
      <c r="S143" s="12" t="s">
        <v>33</v>
      </c>
      <c r="T143" s="11" t="str">
        <f t="shared" si="4"/>
        <v>-3.8196177</v>
      </c>
      <c r="U143" s="11" t="str">
        <f t="shared" si="5"/>
        <v>-38.4963629</v>
      </c>
    </row>
    <row r="144" spans="1:21">
      <c r="A144" s="11" t="s">
        <v>937</v>
      </c>
      <c r="B144" s="11" t="s">
        <v>938</v>
      </c>
      <c r="C144" s="11">
        <v>29227551000174</v>
      </c>
      <c r="E144" s="12" t="s">
        <v>23</v>
      </c>
      <c r="F144" s="12" t="s">
        <v>939</v>
      </c>
      <c r="G144" s="11" t="s">
        <v>940</v>
      </c>
      <c r="H144" s="11">
        <v>419</v>
      </c>
      <c r="I144" s="11" t="s">
        <v>26</v>
      </c>
      <c r="J144" s="11">
        <v>68741320</v>
      </c>
      <c r="K144" s="11" t="s">
        <v>941</v>
      </c>
      <c r="L144" s="11" t="s">
        <v>224</v>
      </c>
      <c r="M144" s="11" t="s">
        <v>225</v>
      </c>
      <c r="P144" s="11" t="s">
        <v>942</v>
      </c>
      <c r="Q144" s="13">
        <v>-1.29389</v>
      </c>
      <c r="R144" s="11">
        <v>-47.926389999999998</v>
      </c>
      <c r="S144" s="12" t="s">
        <v>70</v>
      </c>
      <c r="T144" s="11" t="str">
        <f t="shared" si="4"/>
        <v>-1.29389</v>
      </c>
      <c r="U144" s="11" t="str">
        <f t="shared" si="5"/>
        <v>-47.92639</v>
      </c>
    </row>
    <row r="145" spans="1:21">
      <c r="A145" s="11" t="s">
        <v>943</v>
      </c>
      <c r="B145" s="11" t="s">
        <v>944</v>
      </c>
      <c r="C145" s="11">
        <v>47018666000130</v>
      </c>
      <c r="E145" s="12" t="s">
        <v>23</v>
      </c>
      <c r="F145" s="12" t="s">
        <v>945</v>
      </c>
      <c r="G145" s="11" t="s">
        <v>946</v>
      </c>
      <c r="H145" s="11" t="s">
        <v>291</v>
      </c>
      <c r="I145" s="11" t="s">
        <v>947</v>
      </c>
      <c r="J145" s="11">
        <v>77015004</v>
      </c>
      <c r="K145" s="11" t="s">
        <v>948</v>
      </c>
      <c r="L145" s="11" t="s">
        <v>949</v>
      </c>
      <c r="M145" s="11" t="s">
        <v>646</v>
      </c>
      <c r="P145" s="11" t="s">
        <v>950</v>
      </c>
      <c r="Q145" s="13">
        <v>-10.167450000000001</v>
      </c>
      <c r="R145" s="11">
        <v>-48.327660000000002</v>
      </c>
      <c r="S145" s="12" t="s">
        <v>70</v>
      </c>
      <c r="T145" s="11" t="str">
        <f t="shared" si="4"/>
        <v>-10.16745</v>
      </c>
      <c r="U145" s="11" t="str">
        <f t="shared" si="5"/>
        <v>-48.32766</v>
      </c>
    </row>
    <row r="146" spans="1:21">
      <c r="A146" s="11" t="s">
        <v>951</v>
      </c>
      <c r="B146" s="11" t="s">
        <v>952</v>
      </c>
      <c r="C146" s="11">
        <v>47945083000155</v>
      </c>
      <c r="E146" s="12" t="s">
        <v>23</v>
      </c>
      <c r="F146" s="12" t="s">
        <v>953</v>
      </c>
      <c r="G146" s="11" t="s">
        <v>954</v>
      </c>
      <c r="H146" s="11" t="s">
        <v>955</v>
      </c>
      <c r="I146" s="11" t="s">
        <v>26</v>
      </c>
      <c r="J146" s="11">
        <v>64020720</v>
      </c>
      <c r="K146" s="11" t="s">
        <v>956</v>
      </c>
      <c r="L146" s="11" t="s">
        <v>390</v>
      </c>
      <c r="M146" s="11" t="s">
        <v>391</v>
      </c>
      <c r="P146" s="11" t="s">
        <v>957</v>
      </c>
      <c r="Q146" s="13" t="s">
        <v>958</v>
      </c>
      <c r="R146" s="11" t="s">
        <v>959</v>
      </c>
      <c r="S146" s="12" t="s">
        <v>33</v>
      </c>
      <c r="T146" s="11" t="str">
        <f t="shared" si="4"/>
        <v>-5.1355835</v>
      </c>
      <c r="U146" s="11" t="str">
        <f t="shared" si="5"/>
        <v>-42.7951369</v>
      </c>
    </row>
    <row r="147" spans="1:21">
      <c r="A147" s="11" t="s">
        <v>960</v>
      </c>
      <c r="B147" s="11" t="s">
        <v>952</v>
      </c>
      <c r="C147" s="11">
        <v>47945083000155</v>
      </c>
      <c r="E147" s="12" t="s">
        <v>23</v>
      </c>
      <c r="F147" s="12" t="s">
        <v>953</v>
      </c>
      <c r="G147" s="11" t="s">
        <v>961</v>
      </c>
      <c r="H147" s="11">
        <v>1350</v>
      </c>
      <c r="I147" s="11" t="s">
        <v>26</v>
      </c>
      <c r="J147" s="11">
        <v>64073020</v>
      </c>
      <c r="K147" s="11" t="s">
        <v>962</v>
      </c>
      <c r="L147" s="11" t="s">
        <v>390</v>
      </c>
      <c r="M147" s="11" t="s">
        <v>391</v>
      </c>
      <c r="P147" s="11" t="s">
        <v>963</v>
      </c>
      <c r="Q147" s="13">
        <v>-5.0891700000000002</v>
      </c>
      <c r="R147" s="11">
        <v>-42.801940000000002</v>
      </c>
      <c r="S147" s="12" t="s">
        <v>70</v>
      </c>
      <c r="T147" s="11" t="str">
        <f t="shared" si="4"/>
        <v>-5.08917</v>
      </c>
      <c r="U147" s="11" t="str">
        <f t="shared" si="5"/>
        <v>-42.80194</v>
      </c>
    </row>
    <row r="148" spans="1:21">
      <c r="A148" s="11" t="s">
        <v>964</v>
      </c>
      <c r="B148" s="11" t="s">
        <v>965</v>
      </c>
      <c r="C148" s="11">
        <v>34046647000176</v>
      </c>
      <c r="E148" s="12" t="s">
        <v>23</v>
      </c>
      <c r="F148" s="12" t="s">
        <v>966</v>
      </c>
      <c r="G148" s="11" t="s">
        <v>967</v>
      </c>
      <c r="H148" s="11" t="s">
        <v>968</v>
      </c>
      <c r="I148" s="11" t="s">
        <v>26</v>
      </c>
      <c r="J148" s="11">
        <v>68385000</v>
      </c>
      <c r="K148" s="11" t="s">
        <v>969</v>
      </c>
      <c r="L148" s="11" t="s">
        <v>970</v>
      </c>
      <c r="M148" s="11" t="s">
        <v>225</v>
      </c>
      <c r="P148" s="11" t="s">
        <v>971</v>
      </c>
      <c r="Q148" s="13" t="s">
        <v>972</v>
      </c>
      <c r="R148" s="11" t="s">
        <v>973</v>
      </c>
      <c r="S148" s="12" t="s">
        <v>33</v>
      </c>
      <c r="T148" s="11" t="str">
        <f t="shared" si="4"/>
        <v>-6.7517239</v>
      </c>
      <c r="U148" s="11" t="str">
        <f t="shared" si="5"/>
        <v>-51.1507941</v>
      </c>
    </row>
    <row r="149" spans="1:21">
      <c r="A149" s="11" t="s">
        <v>974</v>
      </c>
      <c r="B149" s="11" t="s">
        <v>975</v>
      </c>
      <c r="C149" s="11">
        <v>52180035000153</v>
      </c>
      <c r="E149" s="12" t="s">
        <v>23</v>
      </c>
      <c r="F149" s="12" t="s">
        <v>976</v>
      </c>
      <c r="G149" s="11" t="s">
        <v>977</v>
      </c>
      <c r="H149" s="11">
        <v>1681</v>
      </c>
      <c r="I149" s="11" t="s">
        <v>978</v>
      </c>
      <c r="J149" s="11">
        <v>63430000</v>
      </c>
      <c r="K149" s="11" t="s">
        <v>39</v>
      </c>
      <c r="L149" s="11" t="s">
        <v>979</v>
      </c>
      <c r="M149" s="11" t="s">
        <v>354</v>
      </c>
      <c r="P149" s="11" t="s">
        <v>980</v>
      </c>
      <c r="Q149" s="13" t="s">
        <v>981</v>
      </c>
      <c r="R149" s="11" t="s">
        <v>982</v>
      </c>
      <c r="S149" s="12" t="s">
        <v>33</v>
      </c>
      <c r="T149" s="11" t="str">
        <f t="shared" si="4"/>
        <v>-6.4003992</v>
      </c>
      <c r="U149" s="11" t="str">
        <f t="shared" si="5"/>
        <v>-38.8575946</v>
      </c>
    </row>
    <row r="150" spans="1:21">
      <c r="A150" s="11" t="s">
        <v>983</v>
      </c>
      <c r="B150" s="11" t="s">
        <v>877</v>
      </c>
      <c r="C150" s="11">
        <v>38400831000123</v>
      </c>
      <c r="E150" s="12" t="s">
        <v>23</v>
      </c>
      <c r="F150" s="12" t="s">
        <v>878</v>
      </c>
      <c r="G150" s="11" t="s">
        <v>984</v>
      </c>
      <c r="H150" s="11">
        <v>77</v>
      </c>
      <c r="I150" s="11" t="s">
        <v>26</v>
      </c>
      <c r="J150" s="11">
        <v>55900000</v>
      </c>
      <c r="K150" s="11" t="s">
        <v>39</v>
      </c>
      <c r="L150" s="11" t="s">
        <v>880</v>
      </c>
      <c r="M150" s="11" t="s">
        <v>29</v>
      </c>
      <c r="P150" s="11" t="s">
        <v>881</v>
      </c>
      <c r="Q150" s="13" t="s">
        <v>882</v>
      </c>
      <c r="R150" s="11" t="s">
        <v>883</v>
      </c>
      <c r="S150" s="12" t="s">
        <v>33</v>
      </c>
      <c r="T150" s="11" t="str">
        <f t="shared" si="4"/>
        <v>-7.5606030</v>
      </c>
      <c r="U150" s="11" t="str">
        <f t="shared" si="5"/>
        <v>-34.9959100</v>
      </c>
    </row>
    <row r="151" spans="1:21">
      <c r="P151" s="11"/>
    </row>
    <row r="152" spans="1:21">
      <c r="A152" s="11" t="s">
        <v>985</v>
      </c>
      <c r="B152" s="11" t="s">
        <v>986</v>
      </c>
      <c r="C152" s="11">
        <v>42289771000190</v>
      </c>
      <c r="E152" s="12" t="s">
        <v>23</v>
      </c>
      <c r="F152" s="12" t="s">
        <v>987</v>
      </c>
      <c r="G152" s="11" t="s">
        <v>988</v>
      </c>
      <c r="H152" s="11">
        <v>992</v>
      </c>
      <c r="I152" s="11" t="s">
        <v>989</v>
      </c>
      <c r="J152" s="11">
        <v>62900000</v>
      </c>
      <c r="K152" s="11" t="s">
        <v>39</v>
      </c>
      <c r="L152" s="11" t="s">
        <v>988</v>
      </c>
      <c r="M152" s="11" t="s">
        <v>354</v>
      </c>
      <c r="P152" s="11" t="s">
        <v>990</v>
      </c>
      <c r="Q152" s="13" t="s">
        <v>991</v>
      </c>
      <c r="R152" s="11" t="s">
        <v>992</v>
      </c>
      <c r="S152" s="12" t="s">
        <v>33</v>
      </c>
      <c r="T152" s="11" t="str">
        <f t="shared" si="4"/>
        <v>-4.9354279</v>
      </c>
      <c r="U152" s="11" t="str">
        <f t="shared" si="5"/>
        <v>-37.9783838</v>
      </c>
    </row>
    <row r="153" spans="1:21">
      <c r="A153" s="11" t="s">
        <v>993</v>
      </c>
      <c r="B153" s="11" t="s">
        <v>994</v>
      </c>
      <c r="C153" s="11">
        <v>22453297000183</v>
      </c>
      <c r="E153" s="12" t="s">
        <v>23</v>
      </c>
      <c r="F153" s="12" t="s">
        <v>995</v>
      </c>
      <c r="G153" s="11" t="s">
        <v>996</v>
      </c>
      <c r="H153" s="11">
        <v>32</v>
      </c>
      <c r="I153" s="11" t="s">
        <v>26</v>
      </c>
      <c r="J153" s="11">
        <v>63010226</v>
      </c>
      <c r="K153" s="11" t="s">
        <v>39</v>
      </c>
      <c r="L153" s="11" t="s">
        <v>353</v>
      </c>
      <c r="M153" s="11" t="s">
        <v>354</v>
      </c>
      <c r="P153" s="11" t="s">
        <v>997</v>
      </c>
      <c r="Q153" s="13">
        <v>-7.2130599999999996</v>
      </c>
      <c r="R153" s="11">
        <v>-39.315280000000001</v>
      </c>
      <c r="S153" s="12" t="s">
        <v>70</v>
      </c>
      <c r="T153" s="11" t="str">
        <f t="shared" si="4"/>
        <v>-7.21306</v>
      </c>
      <c r="U153" s="11" t="str">
        <f t="shared" si="5"/>
        <v>-39.31528</v>
      </c>
    </row>
    <row r="154" spans="1:21">
      <c r="A154" s="11" t="s">
        <v>998</v>
      </c>
      <c r="B154" s="11" t="s">
        <v>999</v>
      </c>
      <c r="C154" s="11">
        <v>47406126000124</v>
      </c>
      <c r="E154" s="12" t="s">
        <v>23</v>
      </c>
      <c r="F154" s="12" t="s">
        <v>1000</v>
      </c>
      <c r="G154" s="11" t="s">
        <v>1001</v>
      </c>
      <c r="H154" s="11">
        <v>2222</v>
      </c>
      <c r="I154" s="11" t="s">
        <v>1002</v>
      </c>
      <c r="J154" s="11">
        <v>64290000</v>
      </c>
      <c r="K154" s="11" t="s">
        <v>39</v>
      </c>
      <c r="L154" s="11" t="s">
        <v>1001</v>
      </c>
      <c r="M154" s="11" t="s">
        <v>391</v>
      </c>
      <c r="P154" s="11" t="s">
        <v>1003</v>
      </c>
      <c r="Q154" s="13" t="s">
        <v>1004</v>
      </c>
      <c r="R154" s="11" t="s">
        <v>1005</v>
      </c>
      <c r="S154" s="12" t="s">
        <v>33</v>
      </c>
      <c r="T154" s="11" t="str">
        <f t="shared" si="4"/>
        <v>-5.0393915</v>
      </c>
      <c r="U154" s="11" t="str">
        <f t="shared" si="5"/>
        <v>-42.4611694</v>
      </c>
    </row>
    <row r="155" spans="1:21">
      <c r="P155" s="11"/>
    </row>
    <row r="156" spans="1:21">
      <c r="A156" s="11" t="s">
        <v>1006</v>
      </c>
      <c r="B156" s="11" t="s">
        <v>1007</v>
      </c>
      <c r="C156" s="11">
        <v>47367205000173</v>
      </c>
      <c r="E156" s="12" t="s">
        <v>23</v>
      </c>
      <c r="F156" s="12" t="s">
        <v>1008</v>
      </c>
      <c r="G156" s="11" t="s">
        <v>1009</v>
      </c>
      <c r="H156" s="11">
        <v>1138</v>
      </c>
      <c r="I156" s="11" t="s">
        <v>1010</v>
      </c>
      <c r="J156" s="11">
        <v>60764020</v>
      </c>
      <c r="K156" s="11" t="s">
        <v>1011</v>
      </c>
      <c r="L156" s="11" t="s">
        <v>437</v>
      </c>
      <c r="M156" s="11" t="s">
        <v>354</v>
      </c>
      <c r="P156" s="11" t="s">
        <v>1012</v>
      </c>
      <c r="Q156" s="13" t="s">
        <v>1013</v>
      </c>
      <c r="R156" s="11" t="s">
        <v>1014</v>
      </c>
      <c r="S156" s="12" t="s">
        <v>33</v>
      </c>
      <c r="T156" s="11" t="str">
        <f t="shared" si="4"/>
        <v>-3.8055512</v>
      </c>
      <c r="U156" s="11" t="str">
        <f t="shared" si="5"/>
        <v>-38.5835359</v>
      </c>
    </row>
    <row r="157" spans="1:21">
      <c r="A157" s="11" t="s">
        <v>1015</v>
      </c>
      <c r="B157" s="11" t="s">
        <v>1016</v>
      </c>
      <c r="C157" s="11">
        <v>21863721000103</v>
      </c>
      <c r="E157" s="12" t="s">
        <v>23</v>
      </c>
      <c r="F157" s="12" t="s">
        <v>1017</v>
      </c>
      <c r="G157" s="11" t="s">
        <v>1018</v>
      </c>
      <c r="H157" s="11">
        <v>240</v>
      </c>
      <c r="I157" s="11" t="s">
        <v>1019</v>
      </c>
      <c r="J157" s="11">
        <v>11900000</v>
      </c>
      <c r="K157" s="11" t="s">
        <v>39</v>
      </c>
      <c r="L157" s="11" t="s">
        <v>1020</v>
      </c>
      <c r="M157" s="11" t="s">
        <v>78</v>
      </c>
      <c r="P157" s="11" t="s">
        <v>1021</v>
      </c>
      <c r="Q157" s="13" t="s">
        <v>1022</v>
      </c>
      <c r="R157" s="11" t="s">
        <v>1023</v>
      </c>
      <c r="S157" s="12" t="s">
        <v>33</v>
      </c>
      <c r="T157" s="11" t="str">
        <f t="shared" si="4"/>
        <v>-24.4979420</v>
      </c>
      <c r="U157" s="11" t="str">
        <f t="shared" si="5"/>
        <v>-47.8448950</v>
      </c>
    </row>
    <row r="158" spans="1:21">
      <c r="A158" s="11" t="s">
        <v>1024</v>
      </c>
      <c r="B158" s="11" t="s">
        <v>245</v>
      </c>
      <c r="C158" s="11">
        <v>34854383001825</v>
      </c>
      <c r="E158" s="12" t="s">
        <v>23</v>
      </c>
      <c r="F158" s="12" t="s">
        <v>1025</v>
      </c>
      <c r="G158" s="11" t="s">
        <v>1026</v>
      </c>
      <c r="H158" s="11">
        <v>1496</v>
      </c>
      <c r="I158" s="11" t="s">
        <v>26</v>
      </c>
      <c r="J158" s="11">
        <v>6020010</v>
      </c>
      <c r="K158" s="11" t="s">
        <v>1027</v>
      </c>
      <c r="L158" s="11" t="s">
        <v>1028</v>
      </c>
      <c r="M158" s="11" t="s">
        <v>78</v>
      </c>
      <c r="P158" s="11" t="s">
        <v>1029</v>
      </c>
      <c r="Q158" s="13">
        <v>-23.532499999999999</v>
      </c>
      <c r="R158" s="11">
        <v>-46.791670000000003</v>
      </c>
      <c r="S158" s="12" t="s">
        <v>70</v>
      </c>
      <c r="T158" s="11" t="str">
        <f t="shared" si="4"/>
        <v>-23.5325</v>
      </c>
      <c r="U158" s="11" t="str">
        <f t="shared" si="5"/>
        <v>-46.79167</v>
      </c>
    </row>
    <row r="159" spans="1:21">
      <c r="A159" s="11" t="s">
        <v>1030</v>
      </c>
      <c r="B159" s="11" t="s">
        <v>808</v>
      </c>
      <c r="C159" s="11">
        <v>35413943000120</v>
      </c>
      <c r="E159" s="12" t="s">
        <v>23</v>
      </c>
      <c r="F159" s="12" t="s">
        <v>809</v>
      </c>
      <c r="G159" s="11" t="s">
        <v>1031</v>
      </c>
      <c r="H159" s="11">
        <v>212</v>
      </c>
      <c r="I159" s="11" t="s">
        <v>1032</v>
      </c>
      <c r="J159" s="11">
        <v>35500009</v>
      </c>
      <c r="K159" s="11" t="s">
        <v>39</v>
      </c>
      <c r="L159" s="11" t="s">
        <v>812</v>
      </c>
      <c r="M159" s="11" t="s">
        <v>404</v>
      </c>
      <c r="P159" s="11" t="s">
        <v>813</v>
      </c>
      <c r="Q159" s="13" t="s">
        <v>814</v>
      </c>
      <c r="R159" s="11" t="s">
        <v>815</v>
      </c>
      <c r="S159" s="12" t="s">
        <v>33</v>
      </c>
      <c r="T159" s="11" t="str">
        <f t="shared" si="4"/>
        <v>-20.1421130</v>
      </c>
      <c r="U159" s="11" t="str">
        <f t="shared" si="5"/>
        <v>-44.8907592</v>
      </c>
    </row>
    <row r="160" spans="1:21">
      <c r="A160" s="11" t="s">
        <v>1033</v>
      </c>
      <c r="B160" s="11" t="s">
        <v>1034</v>
      </c>
      <c r="C160" s="11">
        <v>47643006000140</v>
      </c>
      <c r="E160" s="12" t="s">
        <v>23</v>
      </c>
      <c r="F160" s="12" t="s">
        <v>302</v>
      </c>
      <c r="G160" s="11" t="s">
        <v>1035</v>
      </c>
      <c r="H160" s="11">
        <v>1762</v>
      </c>
      <c r="I160" s="11" t="s">
        <v>1036</v>
      </c>
      <c r="J160" s="11">
        <v>69095000</v>
      </c>
      <c r="K160" s="11" t="s">
        <v>1037</v>
      </c>
      <c r="L160" s="11" t="s">
        <v>1038</v>
      </c>
      <c r="M160" s="11" t="s">
        <v>1039</v>
      </c>
      <c r="P160" s="11" t="s">
        <v>1040</v>
      </c>
      <c r="Q160" s="13">
        <v>-3.0358089000000001</v>
      </c>
      <c r="R160" s="11">
        <v>-59.960851499999997</v>
      </c>
      <c r="S160" s="12" t="s">
        <v>70</v>
      </c>
      <c r="T160" s="11" t="str">
        <f t="shared" si="4"/>
        <v>-3.0358089</v>
      </c>
      <c r="U160" s="11" t="str">
        <f t="shared" si="5"/>
        <v>-59.9608515</v>
      </c>
    </row>
    <row r="161" spans="1:21">
      <c r="A161" s="11" t="s">
        <v>1041</v>
      </c>
      <c r="B161" s="11" t="s">
        <v>1042</v>
      </c>
      <c r="C161" s="11">
        <v>47646119000108</v>
      </c>
      <c r="E161" s="12" t="s">
        <v>23</v>
      </c>
      <c r="F161" s="12" t="s">
        <v>302</v>
      </c>
      <c r="G161" s="11" t="s">
        <v>1043</v>
      </c>
      <c r="H161" s="11">
        <v>3760</v>
      </c>
      <c r="I161" s="11" t="s">
        <v>26</v>
      </c>
      <c r="J161" s="11">
        <v>69059800</v>
      </c>
      <c r="K161" s="11" t="s">
        <v>1044</v>
      </c>
      <c r="L161" s="11" t="s">
        <v>1038</v>
      </c>
      <c r="M161" s="11" t="s">
        <v>1039</v>
      </c>
      <c r="P161" s="11" t="s">
        <v>1040</v>
      </c>
      <c r="Q161" s="13">
        <v>-2.9932949999999998</v>
      </c>
      <c r="R161" s="11">
        <v>-60.022520900000004</v>
      </c>
      <c r="S161" s="12" t="s">
        <v>70</v>
      </c>
      <c r="T161" s="11" t="str">
        <f t="shared" si="4"/>
        <v>-2.993295</v>
      </c>
      <c r="U161" s="11" t="str">
        <f t="shared" si="5"/>
        <v>-60.0225209</v>
      </c>
    </row>
    <row r="162" spans="1:21">
      <c r="A162" s="11" t="s">
        <v>1045</v>
      </c>
      <c r="B162" s="11" t="s">
        <v>1046</v>
      </c>
      <c r="C162" s="11">
        <v>47452185000139</v>
      </c>
      <c r="E162" s="12" t="s">
        <v>23</v>
      </c>
      <c r="F162" s="12" t="s">
        <v>302</v>
      </c>
      <c r="G162" s="11" t="s">
        <v>1047</v>
      </c>
      <c r="H162" s="11">
        <v>300</v>
      </c>
      <c r="I162" s="11" t="s">
        <v>1048</v>
      </c>
      <c r="J162" s="11">
        <v>62050255</v>
      </c>
      <c r="K162" s="11" t="s">
        <v>1049</v>
      </c>
      <c r="L162" s="11" t="s">
        <v>1050</v>
      </c>
      <c r="M162" s="11" t="s">
        <v>354</v>
      </c>
      <c r="P162" s="11" t="s">
        <v>1051</v>
      </c>
      <c r="Q162" s="13">
        <v>-3.7071559999999999</v>
      </c>
      <c r="R162" s="11">
        <v>-40.337759900000002</v>
      </c>
      <c r="S162" s="12" t="s">
        <v>70</v>
      </c>
      <c r="T162" s="11" t="str">
        <f t="shared" si="4"/>
        <v>-3.707156</v>
      </c>
      <c r="U162" s="11" t="str">
        <f t="shared" si="5"/>
        <v>-40.3377599</v>
      </c>
    </row>
    <row r="163" spans="1:21">
      <c r="A163" s="11" t="s">
        <v>1052</v>
      </c>
      <c r="B163" s="11" t="s">
        <v>1053</v>
      </c>
      <c r="C163" s="11">
        <v>14644618000107</v>
      </c>
      <c r="E163" s="12" t="s">
        <v>23</v>
      </c>
      <c r="F163" s="12" t="s">
        <v>1054</v>
      </c>
      <c r="G163" s="11" t="s">
        <v>1055</v>
      </c>
      <c r="H163" s="11">
        <v>8</v>
      </c>
      <c r="I163" s="11" t="s">
        <v>1010</v>
      </c>
      <c r="J163" s="11">
        <v>65065470</v>
      </c>
      <c r="K163" s="11" t="s">
        <v>1056</v>
      </c>
      <c r="L163" s="11" t="s">
        <v>511</v>
      </c>
      <c r="M163" s="11" t="s">
        <v>281</v>
      </c>
      <c r="P163" s="11" t="s">
        <v>1057</v>
      </c>
      <c r="Q163" s="13" t="s">
        <v>1058</v>
      </c>
      <c r="R163" s="11" t="s">
        <v>1059</v>
      </c>
      <c r="S163" s="12" t="s">
        <v>33</v>
      </c>
      <c r="T163" s="11" t="str">
        <f t="shared" si="4"/>
        <v>-2.5231547</v>
      </c>
      <c r="U163" s="11" t="str">
        <f t="shared" si="5"/>
        <v>-44.2260173</v>
      </c>
    </row>
    <row r="164" spans="1:21">
      <c r="A164" s="11" t="s">
        <v>1060</v>
      </c>
      <c r="B164" s="11" t="s">
        <v>1034</v>
      </c>
      <c r="C164" s="11">
        <v>47704701000175</v>
      </c>
      <c r="E164" s="12" t="s">
        <v>23</v>
      </c>
      <c r="F164" s="12" t="s">
        <v>302</v>
      </c>
      <c r="G164" s="11" t="s">
        <v>1061</v>
      </c>
      <c r="H164" s="11">
        <v>4500</v>
      </c>
      <c r="I164" s="11" t="s">
        <v>1062</v>
      </c>
      <c r="J164" s="11">
        <v>67113970</v>
      </c>
      <c r="K164" s="11" t="s">
        <v>1063</v>
      </c>
      <c r="L164" s="11" t="s">
        <v>1064</v>
      </c>
      <c r="M164" s="11" t="s">
        <v>225</v>
      </c>
      <c r="P164" s="11" t="s">
        <v>1065</v>
      </c>
      <c r="Q164" s="13" t="s">
        <v>1066</v>
      </c>
      <c r="R164" s="11" t="s">
        <v>1067</v>
      </c>
      <c r="S164" s="12" t="s">
        <v>33</v>
      </c>
      <c r="T164" s="11" t="str">
        <f t="shared" si="4"/>
        <v>-1.3888539</v>
      </c>
      <c r="U164" s="11" t="str">
        <f t="shared" si="5"/>
        <v>-48.4124722</v>
      </c>
    </row>
    <row r="165" spans="1:21">
      <c r="A165" s="11" t="s">
        <v>1068</v>
      </c>
      <c r="B165" s="11" t="s">
        <v>1069</v>
      </c>
      <c r="C165" s="11">
        <v>47976040000137</v>
      </c>
      <c r="E165" s="12" t="s">
        <v>23</v>
      </c>
      <c r="F165" s="12" t="s">
        <v>1070</v>
      </c>
      <c r="G165" s="11" t="s">
        <v>1071</v>
      </c>
      <c r="H165" s="11" t="s">
        <v>291</v>
      </c>
      <c r="I165" s="11" t="s">
        <v>26</v>
      </c>
      <c r="J165" s="11">
        <v>64025010</v>
      </c>
      <c r="K165" s="11" t="s">
        <v>927</v>
      </c>
      <c r="L165" s="11" t="s">
        <v>390</v>
      </c>
      <c r="M165" s="11" t="s">
        <v>391</v>
      </c>
      <c r="P165" s="11" t="s">
        <v>1072</v>
      </c>
      <c r="Q165" s="13">
        <v>-4.9944262999999998</v>
      </c>
      <c r="R165" s="11">
        <v>-42.831580299999999</v>
      </c>
      <c r="S165" s="12" t="s">
        <v>70</v>
      </c>
      <c r="T165" s="11" t="str">
        <f t="shared" si="4"/>
        <v>-4.9944263</v>
      </c>
      <c r="U165" s="11" t="str">
        <f t="shared" si="5"/>
        <v>-42.8315803</v>
      </c>
    </row>
    <row r="166" spans="1:21">
      <c r="A166" s="11" t="s">
        <v>1073</v>
      </c>
      <c r="B166" s="11" t="s">
        <v>674</v>
      </c>
      <c r="C166" s="11">
        <v>20673636000535</v>
      </c>
      <c r="E166" s="12" t="s">
        <v>23</v>
      </c>
      <c r="F166" s="12" t="s">
        <v>1074</v>
      </c>
      <c r="G166" s="11" t="s">
        <v>1075</v>
      </c>
      <c r="H166" s="11">
        <v>2633</v>
      </c>
      <c r="I166" s="11" t="s">
        <v>26</v>
      </c>
      <c r="J166" s="11">
        <v>82810350</v>
      </c>
      <c r="K166" s="11" t="s">
        <v>1076</v>
      </c>
      <c r="L166" s="11" t="s">
        <v>678</v>
      </c>
      <c r="M166" s="11" t="s">
        <v>679</v>
      </c>
      <c r="P166" s="11" t="s">
        <v>1077</v>
      </c>
      <c r="Q166" s="13" t="s">
        <v>1078</v>
      </c>
      <c r="R166" s="11" t="s">
        <v>1079</v>
      </c>
      <c r="S166" s="12" t="s">
        <v>33</v>
      </c>
      <c r="T166" s="11" t="str">
        <f t="shared" si="4"/>
        <v>-25.4305239</v>
      </c>
      <c r="U166" s="11" t="str">
        <f t="shared" si="5"/>
        <v>-49.2090570</v>
      </c>
    </row>
    <row r="167" spans="1:21">
      <c r="A167" s="11" t="s">
        <v>1080</v>
      </c>
      <c r="B167" s="11" t="s">
        <v>1081</v>
      </c>
      <c r="C167" s="11">
        <v>52745444000150</v>
      </c>
      <c r="E167" s="12" t="s">
        <v>23</v>
      </c>
      <c r="F167" s="12" t="s">
        <v>1082</v>
      </c>
      <c r="G167" s="11" t="s">
        <v>1083</v>
      </c>
      <c r="H167" s="11">
        <v>1993</v>
      </c>
      <c r="I167" s="11" t="s">
        <v>26</v>
      </c>
      <c r="J167" s="11">
        <v>62320069</v>
      </c>
      <c r="K167" s="11" t="s">
        <v>39</v>
      </c>
      <c r="L167" s="11" t="s">
        <v>1084</v>
      </c>
      <c r="M167" s="11" t="s">
        <v>354</v>
      </c>
      <c r="P167" s="11" t="s">
        <v>1085</v>
      </c>
      <c r="Q167" s="13" t="s">
        <v>1086</v>
      </c>
      <c r="R167" s="11" t="s">
        <v>1087</v>
      </c>
      <c r="S167" s="12" t="s">
        <v>33</v>
      </c>
      <c r="T167" s="11" t="str">
        <f t="shared" si="4"/>
        <v>-3.7362767</v>
      </c>
      <c r="U167" s="11" t="str">
        <f t="shared" si="5"/>
        <v>-40.9913335</v>
      </c>
    </row>
    <row r="168" spans="1:21">
      <c r="A168" s="11" t="s">
        <v>1088</v>
      </c>
      <c r="B168" s="11" t="s">
        <v>1081</v>
      </c>
      <c r="C168" s="11">
        <v>52745444000230</v>
      </c>
      <c r="E168" s="12" t="s">
        <v>23</v>
      </c>
      <c r="F168" s="12" t="s">
        <v>1082</v>
      </c>
      <c r="G168" s="11" t="s">
        <v>1089</v>
      </c>
      <c r="H168" s="11">
        <v>400</v>
      </c>
      <c r="I168" s="11" t="s">
        <v>1090</v>
      </c>
      <c r="J168" s="11">
        <v>62042015</v>
      </c>
      <c r="K168" s="11" t="s">
        <v>1091</v>
      </c>
      <c r="L168" s="11" t="s">
        <v>1050</v>
      </c>
      <c r="M168" s="11" t="s">
        <v>354</v>
      </c>
      <c r="P168" s="13" t="s">
        <v>1092</v>
      </c>
      <c r="Q168" s="13">
        <v>-3.68130695610586E+16</v>
      </c>
      <c r="R168" s="14">
        <v>-4034265521547550</v>
      </c>
      <c r="S168" s="12" t="s">
        <v>283</v>
      </c>
      <c r="T168" s="11" t="str">
        <f t="shared" si="4"/>
        <v>-36813069561058600</v>
      </c>
      <c r="U168" s="11" t="str">
        <f t="shared" si="5"/>
        <v>-4034265521547550</v>
      </c>
    </row>
    <row r="169" spans="1:21">
      <c r="A169" s="11" t="s">
        <v>1093</v>
      </c>
      <c r="B169" s="11" t="s">
        <v>1094</v>
      </c>
      <c r="C169" s="11">
        <v>47976633000101</v>
      </c>
      <c r="E169" s="12" t="s">
        <v>23</v>
      </c>
      <c r="F169" s="12" t="s">
        <v>1095</v>
      </c>
      <c r="G169" s="11" t="s">
        <v>1096</v>
      </c>
      <c r="H169" s="11">
        <v>57</v>
      </c>
      <c r="I169" s="11" t="s">
        <v>26</v>
      </c>
      <c r="J169" s="11">
        <v>63680000</v>
      </c>
      <c r="K169" s="11" t="s">
        <v>1097</v>
      </c>
      <c r="L169" s="11" t="s">
        <v>1096</v>
      </c>
      <c r="M169" s="11" t="s">
        <v>354</v>
      </c>
      <c r="P169" s="11" t="s">
        <v>1098</v>
      </c>
      <c r="Q169" s="13" t="s">
        <v>1099</v>
      </c>
      <c r="R169" s="11" t="s">
        <v>1100</v>
      </c>
      <c r="S169" s="12" t="s">
        <v>33</v>
      </c>
      <c r="T169" s="11" t="str">
        <f t="shared" si="4"/>
        <v>-6.2123856</v>
      </c>
      <c r="U169" s="11" t="str">
        <f t="shared" si="5"/>
        <v>-40.6954982</v>
      </c>
    </row>
    <row r="170" spans="1:21">
      <c r="A170" s="11" t="s">
        <v>1101</v>
      </c>
      <c r="B170" s="11" t="s">
        <v>1102</v>
      </c>
      <c r="C170" s="11">
        <v>35063837000164</v>
      </c>
      <c r="E170" s="12" t="s">
        <v>23</v>
      </c>
      <c r="F170" s="12" t="s">
        <v>1103</v>
      </c>
      <c r="G170" s="11" t="s">
        <v>1104</v>
      </c>
      <c r="H170" s="11" t="s">
        <v>291</v>
      </c>
      <c r="I170" s="11" t="s">
        <v>26</v>
      </c>
      <c r="J170" s="11">
        <v>68514300</v>
      </c>
      <c r="K170" s="11" t="s">
        <v>457</v>
      </c>
      <c r="L170" s="11" t="s">
        <v>887</v>
      </c>
      <c r="M170" s="11" t="s">
        <v>225</v>
      </c>
      <c r="P170" s="11" t="s">
        <v>459</v>
      </c>
      <c r="Q170" s="13">
        <v>-5.3686100000000003</v>
      </c>
      <c r="R170" s="11">
        <v>-49.117780000000003</v>
      </c>
      <c r="S170" s="12" t="s">
        <v>70</v>
      </c>
      <c r="T170" s="11" t="str">
        <f t="shared" si="4"/>
        <v>-5.36861</v>
      </c>
      <c r="U170" s="11" t="str">
        <f t="shared" si="5"/>
        <v>-49.11778</v>
      </c>
    </row>
    <row r="171" spans="1:21">
      <c r="A171" s="11" t="s">
        <v>1105</v>
      </c>
      <c r="B171" s="11" t="s">
        <v>965</v>
      </c>
      <c r="C171" s="11">
        <v>34046647000176</v>
      </c>
      <c r="E171" s="12" t="s">
        <v>23</v>
      </c>
      <c r="F171" s="12" t="s">
        <v>1106</v>
      </c>
      <c r="G171" s="11" t="s">
        <v>967</v>
      </c>
      <c r="H171" s="11" t="s">
        <v>968</v>
      </c>
      <c r="I171" s="11" t="s">
        <v>464</v>
      </c>
      <c r="J171" s="11">
        <v>68385000</v>
      </c>
      <c r="K171" s="11" t="s">
        <v>969</v>
      </c>
      <c r="L171" s="11" t="s">
        <v>970</v>
      </c>
      <c r="M171" s="11" t="s">
        <v>225</v>
      </c>
      <c r="P171" s="11" t="s">
        <v>971</v>
      </c>
      <c r="Q171" s="13" t="s">
        <v>972</v>
      </c>
      <c r="R171" s="11" t="s">
        <v>973</v>
      </c>
      <c r="S171" s="12" t="s">
        <v>33</v>
      </c>
      <c r="T171" s="11" t="str">
        <f t="shared" si="4"/>
        <v>-6.7517239</v>
      </c>
      <c r="U171" s="11" t="str">
        <f t="shared" si="5"/>
        <v>-51.1507941</v>
      </c>
    </row>
    <row r="172" spans="1:21">
      <c r="A172" s="11" t="s">
        <v>1107</v>
      </c>
      <c r="B172" s="11" t="s">
        <v>1108</v>
      </c>
      <c r="C172" s="11">
        <v>47993116000132</v>
      </c>
      <c r="E172" s="12" t="s">
        <v>23</v>
      </c>
      <c r="F172" s="12" t="s">
        <v>302</v>
      </c>
      <c r="G172" s="11" t="s">
        <v>1109</v>
      </c>
      <c r="H172" s="11">
        <v>6100</v>
      </c>
      <c r="I172" s="11" t="s">
        <v>978</v>
      </c>
      <c r="J172" s="11">
        <v>69085000</v>
      </c>
      <c r="K172" s="11" t="s">
        <v>1110</v>
      </c>
      <c r="L172" s="11" t="s">
        <v>1038</v>
      </c>
      <c r="M172" s="11" t="s">
        <v>1039</v>
      </c>
      <c r="P172" s="11" t="s">
        <v>1040</v>
      </c>
      <c r="Q172" s="13">
        <v>-3.0629165999999999</v>
      </c>
      <c r="R172" s="11">
        <v>-59.950533999999998</v>
      </c>
      <c r="S172" s="12" t="s">
        <v>70</v>
      </c>
      <c r="T172" s="11" t="str">
        <f t="shared" si="4"/>
        <v>-3.0629166</v>
      </c>
      <c r="U172" s="11" t="str">
        <f t="shared" si="5"/>
        <v>-59.950534</v>
      </c>
    </row>
    <row r="173" spans="1:21">
      <c r="A173" s="11" t="s">
        <v>1111</v>
      </c>
      <c r="B173" s="11" t="s">
        <v>1112</v>
      </c>
      <c r="C173" s="11">
        <v>48064822000162</v>
      </c>
      <c r="E173" s="12" t="s">
        <v>23</v>
      </c>
      <c r="F173" s="12" t="s">
        <v>1113</v>
      </c>
      <c r="G173" s="11" t="s">
        <v>1114</v>
      </c>
      <c r="H173" s="11">
        <v>8</v>
      </c>
      <c r="I173" s="11" t="s">
        <v>1115</v>
      </c>
      <c r="J173" s="11">
        <v>24020125</v>
      </c>
      <c r="K173" s="11" t="s">
        <v>39</v>
      </c>
      <c r="L173" s="11" t="s">
        <v>1116</v>
      </c>
      <c r="M173" s="11" t="s">
        <v>68</v>
      </c>
      <c r="P173" s="11" t="s">
        <v>1117</v>
      </c>
      <c r="Q173" s="13" t="s">
        <v>1118</v>
      </c>
      <c r="R173" s="11" t="s">
        <v>1119</v>
      </c>
      <c r="S173" s="12" t="s">
        <v>33</v>
      </c>
      <c r="T173" s="11" t="str">
        <f t="shared" si="4"/>
        <v>-22.8964728</v>
      </c>
      <c r="U173" s="11" t="str">
        <f t="shared" si="5"/>
        <v>-43.1207942</v>
      </c>
    </row>
    <row r="174" spans="1:21">
      <c r="A174" s="11" t="s">
        <v>1120</v>
      </c>
      <c r="B174" s="11" t="s">
        <v>1121</v>
      </c>
      <c r="C174" s="11">
        <v>47561789000113</v>
      </c>
      <c r="E174" s="12" t="s">
        <v>23</v>
      </c>
      <c r="F174" s="12" t="s">
        <v>1122</v>
      </c>
      <c r="G174" s="11" t="s">
        <v>1123</v>
      </c>
      <c r="H174" s="11">
        <v>85</v>
      </c>
      <c r="I174" s="11" t="s">
        <v>26</v>
      </c>
      <c r="J174" s="11">
        <v>44700000</v>
      </c>
      <c r="K174" s="11" t="s">
        <v>39</v>
      </c>
      <c r="L174" s="11" t="s">
        <v>1124</v>
      </c>
      <c r="M174" s="11" t="s">
        <v>86</v>
      </c>
      <c r="P174" s="11" t="s">
        <v>1125</v>
      </c>
      <c r="Q174" s="13" t="s">
        <v>1126</v>
      </c>
      <c r="R174" s="11" t="s">
        <v>1127</v>
      </c>
      <c r="S174" s="12" t="s">
        <v>33</v>
      </c>
      <c r="T174" s="11" t="str">
        <f t="shared" si="4"/>
        <v>-11.1851561</v>
      </c>
      <c r="U174" s="11" t="str">
        <f t="shared" si="5"/>
        <v>-40.5112434</v>
      </c>
    </row>
    <row r="175" spans="1:21">
      <c r="A175" s="11" t="s">
        <v>1128</v>
      </c>
      <c r="B175" s="11" t="s">
        <v>1129</v>
      </c>
      <c r="C175" s="11">
        <v>48130020000103</v>
      </c>
      <c r="E175" s="12" t="s">
        <v>23</v>
      </c>
      <c r="F175" s="12" t="s">
        <v>1130</v>
      </c>
      <c r="G175" s="11" t="s">
        <v>1131</v>
      </c>
      <c r="H175" s="11" t="s">
        <v>291</v>
      </c>
      <c r="I175" s="11" t="s">
        <v>1132</v>
      </c>
      <c r="J175" s="11">
        <v>50030230</v>
      </c>
      <c r="K175" s="11" t="s">
        <v>28</v>
      </c>
      <c r="L175" s="11" t="s">
        <v>28</v>
      </c>
      <c r="M175" s="11" t="s">
        <v>29</v>
      </c>
      <c r="P175" s="11" t="s">
        <v>1133</v>
      </c>
      <c r="Q175" s="13" t="s">
        <v>1134</v>
      </c>
      <c r="R175" s="11" t="s">
        <v>1135</v>
      </c>
      <c r="S175" s="12" t="s">
        <v>33</v>
      </c>
      <c r="T175" s="11" t="str">
        <f t="shared" si="4"/>
        <v>-8.0629155</v>
      </c>
      <c r="U175" s="11" t="str">
        <f t="shared" si="5"/>
        <v>-34.8741244</v>
      </c>
    </row>
    <row r="176" spans="1:21">
      <c r="A176" s="11" t="s">
        <v>1136</v>
      </c>
      <c r="B176" s="11" t="s">
        <v>1137</v>
      </c>
      <c r="C176" s="11">
        <v>48076656000114</v>
      </c>
      <c r="E176" s="12" t="s">
        <v>23</v>
      </c>
      <c r="F176" s="12" t="s">
        <v>1138</v>
      </c>
      <c r="G176" s="11" t="s">
        <v>1139</v>
      </c>
      <c r="H176" s="11">
        <v>1100</v>
      </c>
      <c r="I176" s="11" t="s">
        <v>26</v>
      </c>
      <c r="J176" s="11">
        <v>14406005</v>
      </c>
      <c r="K176" s="11" t="s">
        <v>1140</v>
      </c>
      <c r="L176" s="11" t="s">
        <v>1141</v>
      </c>
      <c r="M176" s="11" t="s">
        <v>78</v>
      </c>
      <c r="P176" s="11" t="s">
        <v>1142</v>
      </c>
      <c r="Q176" s="13" t="s">
        <v>1143</v>
      </c>
      <c r="R176" s="11" t="s">
        <v>1144</v>
      </c>
      <c r="S176" s="12" t="s">
        <v>33</v>
      </c>
      <c r="T176" s="11" t="str">
        <f t="shared" si="4"/>
        <v>-20.5481006</v>
      </c>
      <c r="U176" s="11" t="str">
        <f t="shared" si="5"/>
        <v>-47.4151206</v>
      </c>
    </row>
    <row r="177" spans="1:21">
      <c r="A177" s="11" t="s">
        <v>1145</v>
      </c>
      <c r="B177" s="11" t="s">
        <v>1146</v>
      </c>
      <c r="C177" s="11">
        <v>48171165000152</v>
      </c>
      <c r="E177" s="12" t="s">
        <v>23</v>
      </c>
      <c r="F177" s="12" t="s">
        <v>1147</v>
      </c>
      <c r="G177" s="11" t="s">
        <v>1148</v>
      </c>
      <c r="H177" s="11">
        <v>314</v>
      </c>
      <c r="I177" s="11" t="s">
        <v>1149</v>
      </c>
      <c r="J177" s="11">
        <v>50730230</v>
      </c>
      <c r="K177" s="11" t="s">
        <v>1150</v>
      </c>
      <c r="L177" s="11" t="s">
        <v>28</v>
      </c>
      <c r="M177" s="11" t="s">
        <v>29</v>
      </c>
      <c r="P177" s="11" t="s">
        <v>1151</v>
      </c>
      <c r="Q177" s="13" t="s">
        <v>1152</v>
      </c>
      <c r="R177" s="11" t="s">
        <v>1153</v>
      </c>
      <c r="S177" s="12" t="s">
        <v>33</v>
      </c>
      <c r="T177" s="11" t="str">
        <f t="shared" si="4"/>
        <v>-8.0564791</v>
      </c>
      <c r="U177" s="11" t="str">
        <f t="shared" si="5"/>
        <v>-34.9424312</v>
      </c>
    </row>
    <row r="178" spans="1:21">
      <c r="A178" s="11" t="s">
        <v>1154</v>
      </c>
      <c r="B178" s="11" t="s">
        <v>245</v>
      </c>
      <c r="C178" s="11">
        <v>34854383002554</v>
      </c>
      <c r="E178" s="12" t="s">
        <v>23</v>
      </c>
      <c r="F178" s="12" t="s">
        <v>1155</v>
      </c>
      <c r="G178" s="11" t="s">
        <v>1156</v>
      </c>
      <c r="H178" s="11">
        <v>555</v>
      </c>
      <c r="I178" s="11" t="s">
        <v>1157</v>
      </c>
      <c r="J178" s="11">
        <v>8673020</v>
      </c>
      <c r="K178" s="11" t="s">
        <v>1158</v>
      </c>
      <c r="L178" s="11" t="s">
        <v>1159</v>
      </c>
      <c r="M178" s="11" t="s">
        <v>78</v>
      </c>
      <c r="P178" s="11" t="s">
        <v>1160</v>
      </c>
      <c r="Q178" s="13">
        <v>-23.542737200000001</v>
      </c>
      <c r="R178" s="11">
        <v>-46.315820899999999</v>
      </c>
      <c r="S178" s="12" t="s">
        <v>70</v>
      </c>
      <c r="T178" s="11" t="str">
        <f t="shared" si="4"/>
        <v>-23.5427372</v>
      </c>
      <c r="U178" s="11" t="str">
        <f t="shared" si="5"/>
        <v>-46.3158209</v>
      </c>
    </row>
    <row r="179" spans="1:21">
      <c r="A179" s="11" t="s">
        <v>1161</v>
      </c>
      <c r="B179" s="11" t="s">
        <v>1162</v>
      </c>
      <c r="C179" s="11">
        <v>48239380000148</v>
      </c>
      <c r="E179" s="12" t="s">
        <v>23</v>
      </c>
      <c r="F179" s="12" t="s">
        <v>1163</v>
      </c>
      <c r="G179" s="11" t="s">
        <v>1164</v>
      </c>
      <c r="H179" s="11">
        <v>134</v>
      </c>
      <c r="I179" s="11" t="s">
        <v>1165</v>
      </c>
      <c r="J179" s="11">
        <v>48400000</v>
      </c>
      <c r="K179" s="11" t="s">
        <v>39</v>
      </c>
      <c r="L179" s="11" t="s">
        <v>1164</v>
      </c>
      <c r="M179" s="11" t="s">
        <v>86</v>
      </c>
      <c r="P179" s="11" t="s">
        <v>1166</v>
      </c>
      <c r="Q179" s="13" t="s">
        <v>1167</v>
      </c>
      <c r="R179" s="11" t="s">
        <v>1168</v>
      </c>
      <c r="S179" s="12" t="s">
        <v>33</v>
      </c>
      <c r="T179" s="11" t="str">
        <f t="shared" si="4"/>
        <v>-10.8372990</v>
      </c>
      <c r="U179" s="11" t="str">
        <f t="shared" si="5"/>
        <v>-38.5381520</v>
      </c>
    </row>
    <row r="180" spans="1:21">
      <c r="A180" s="11" t="s">
        <v>1169</v>
      </c>
      <c r="B180" s="11" t="s">
        <v>1170</v>
      </c>
      <c r="C180" s="11">
        <v>48345571000194</v>
      </c>
      <c r="E180" s="12" t="s">
        <v>23</v>
      </c>
      <c r="F180" s="12" t="s">
        <v>1171</v>
      </c>
      <c r="G180" s="11" t="s">
        <v>1172</v>
      </c>
      <c r="H180" s="11">
        <v>226</v>
      </c>
      <c r="I180" s="11" t="s">
        <v>26</v>
      </c>
      <c r="J180" s="11">
        <v>42850000</v>
      </c>
      <c r="K180" s="11" t="s">
        <v>39</v>
      </c>
      <c r="L180" s="11" t="s">
        <v>1173</v>
      </c>
      <c r="M180" s="11" t="s">
        <v>86</v>
      </c>
      <c r="P180" s="11" t="s">
        <v>1174</v>
      </c>
      <c r="Q180" s="13" t="s">
        <v>1175</v>
      </c>
      <c r="R180" s="11" t="s">
        <v>1176</v>
      </c>
      <c r="S180" s="12" t="s">
        <v>33</v>
      </c>
      <c r="T180" s="11" t="str">
        <f t="shared" si="4"/>
        <v>-12.6107233</v>
      </c>
      <c r="U180" s="11" t="str">
        <f t="shared" si="5"/>
        <v>-38.3028518</v>
      </c>
    </row>
    <row r="181" spans="1:21">
      <c r="A181" s="11" t="s">
        <v>1177</v>
      </c>
      <c r="B181" s="11" t="s">
        <v>1178</v>
      </c>
      <c r="C181" s="11">
        <v>48368624000192</v>
      </c>
      <c r="E181" s="12" t="s">
        <v>23</v>
      </c>
      <c r="F181" s="12" t="s">
        <v>1179</v>
      </c>
      <c r="G181" s="11" t="s">
        <v>1180</v>
      </c>
      <c r="H181" s="11">
        <v>390</v>
      </c>
      <c r="I181" s="11" t="s">
        <v>26</v>
      </c>
      <c r="J181" s="11">
        <v>56230000</v>
      </c>
      <c r="K181" s="11" t="s">
        <v>39</v>
      </c>
      <c r="L181" s="11" t="s">
        <v>1181</v>
      </c>
      <c r="M181" s="11" t="s">
        <v>29</v>
      </c>
      <c r="P181" s="11" t="s">
        <v>1182</v>
      </c>
      <c r="Q181" s="13" t="s">
        <v>1183</v>
      </c>
      <c r="R181" s="11" t="s">
        <v>1184</v>
      </c>
      <c r="S181" s="12" t="s">
        <v>33</v>
      </c>
      <c r="T181" s="11" t="str">
        <f t="shared" si="4"/>
        <v>-7.5154340</v>
      </c>
      <c r="U181" s="11" t="str">
        <f t="shared" si="5"/>
        <v>-39.7220150</v>
      </c>
    </row>
    <row r="182" spans="1:21">
      <c r="A182" s="11" t="s">
        <v>1185</v>
      </c>
      <c r="B182" s="11" t="s">
        <v>1186</v>
      </c>
      <c r="C182" s="11">
        <v>48427619000103</v>
      </c>
      <c r="E182" s="12" t="s">
        <v>23</v>
      </c>
      <c r="F182" s="12" t="s">
        <v>1187</v>
      </c>
      <c r="G182" s="11" t="s">
        <v>1188</v>
      </c>
      <c r="H182" s="11">
        <v>176</v>
      </c>
      <c r="I182" s="11" t="s">
        <v>26</v>
      </c>
      <c r="J182" s="11">
        <v>63660000</v>
      </c>
      <c r="K182" s="11" t="s">
        <v>39</v>
      </c>
      <c r="L182" s="11" t="s">
        <v>1188</v>
      </c>
      <c r="M182" s="11" t="s">
        <v>354</v>
      </c>
      <c r="P182" s="11" t="s">
        <v>1189</v>
      </c>
      <c r="Q182" s="13" t="s">
        <v>1190</v>
      </c>
      <c r="R182" s="11" t="s">
        <v>1191</v>
      </c>
      <c r="S182" s="12" t="s">
        <v>33</v>
      </c>
      <c r="T182" s="11" t="str">
        <f t="shared" si="4"/>
        <v>-6.0031372</v>
      </c>
      <c r="U182" s="11" t="str">
        <f t="shared" si="5"/>
        <v>-40.2947268</v>
      </c>
    </row>
    <row r="183" spans="1:21">
      <c r="A183" s="11" t="s">
        <v>1192</v>
      </c>
      <c r="B183" s="11" t="s">
        <v>1193</v>
      </c>
      <c r="C183" s="11">
        <v>48442418000185</v>
      </c>
      <c r="E183" s="12" t="s">
        <v>23</v>
      </c>
      <c r="F183" s="12" t="s">
        <v>302</v>
      </c>
      <c r="G183" s="11" t="s">
        <v>885</v>
      </c>
      <c r="H183" s="11" t="s">
        <v>291</v>
      </c>
      <c r="I183" s="11" t="s">
        <v>1194</v>
      </c>
      <c r="J183" s="11">
        <v>68507445</v>
      </c>
      <c r="K183" s="11" t="s">
        <v>886</v>
      </c>
      <c r="L183" s="11" t="s">
        <v>887</v>
      </c>
      <c r="M183" s="11" t="s">
        <v>225</v>
      </c>
      <c r="P183" s="11" t="s">
        <v>888</v>
      </c>
      <c r="Q183" s="13">
        <v>-5.3686100000000003</v>
      </c>
      <c r="R183" s="11">
        <v>-49.117780000000003</v>
      </c>
      <c r="S183" s="12" t="s">
        <v>70</v>
      </c>
      <c r="T183" s="11" t="str">
        <f t="shared" si="4"/>
        <v>-5.36861</v>
      </c>
      <c r="U183" s="11" t="str">
        <f t="shared" si="5"/>
        <v>-49.11778</v>
      </c>
    </row>
    <row r="184" spans="1:21">
      <c r="A184" s="11" t="s">
        <v>1195</v>
      </c>
      <c r="B184" s="11" t="s">
        <v>1196</v>
      </c>
      <c r="C184" s="11">
        <v>48147349000187</v>
      </c>
      <c r="E184" s="12" t="s">
        <v>23</v>
      </c>
      <c r="F184" s="12" t="s">
        <v>310</v>
      </c>
      <c r="G184" s="11" t="s">
        <v>1197</v>
      </c>
      <c r="H184" s="11">
        <v>101</v>
      </c>
      <c r="I184" s="11" t="s">
        <v>1194</v>
      </c>
      <c r="J184" s="11">
        <v>23050360</v>
      </c>
      <c r="K184" s="11" t="s">
        <v>1198</v>
      </c>
      <c r="L184" s="11" t="s">
        <v>313</v>
      </c>
      <c r="M184" s="11" t="s">
        <v>68</v>
      </c>
      <c r="P184" s="11" t="s">
        <v>1199</v>
      </c>
      <c r="Q184" s="13" t="s">
        <v>1200</v>
      </c>
      <c r="R184" s="11" t="s">
        <v>1201</v>
      </c>
      <c r="S184" s="12" t="s">
        <v>33</v>
      </c>
      <c r="T184" s="11" t="str">
        <f t="shared" si="4"/>
        <v>-22.9026028</v>
      </c>
      <c r="U184" s="11" t="str">
        <f t="shared" si="5"/>
        <v>-43.5590080</v>
      </c>
    </row>
    <row r="185" spans="1:21">
      <c r="A185" s="11" t="s">
        <v>1202</v>
      </c>
      <c r="B185" s="11" t="s">
        <v>245</v>
      </c>
      <c r="C185" s="11">
        <v>34854383002635</v>
      </c>
      <c r="E185" s="12" t="s">
        <v>23</v>
      </c>
      <c r="F185" s="12" t="s">
        <v>1203</v>
      </c>
      <c r="G185" s="11" t="s">
        <v>1204</v>
      </c>
      <c r="H185" s="11">
        <v>1321</v>
      </c>
      <c r="I185" s="11" t="s">
        <v>1205</v>
      </c>
      <c r="J185" s="11">
        <v>13480013</v>
      </c>
      <c r="K185" s="11" t="s">
        <v>39</v>
      </c>
      <c r="L185" s="11" t="s">
        <v>1206</v>
      </c>
      <c r="M185" s="11" t="s">
        <v>78</v>
      </c>
      <c r="P185" s="11" t="s">
        <v>1207</v>
      </c>
      <c r="Q185" s="13" t="s">
        <v>1208</v>
      </c>
      <c r="R185" s="11" t="s">
        <v>1209</v>
      </c>
      <c r="S185" s="12" t="s">
        <v>33</v>
      </c>
      <c r="T185" s="11" t="str">
        <f t="shared" si="4"/>
        <v>-22.5686447</v>
      </c>
      <c r="U185" s="11" t="str">
        <f t="shared" si="5"/>
        <v>-47.4062463</v>
      </c>
    </row>
    <row r="186" spans="1:21">
      <c r="A186" s="11" t="s">
        <v>1210</v>
      </c>
      <c r="B186" s="11" t="s">
        <v>1211</v>
      </c>
      <c r="C186" s="11">
        <v>26959566000139</v>
      </c>
      <c r="E186" s="12" t="s">
        <v>23</v>
      </c>
      <c r="F186" s="12" t="s">
        <v>1212</v>
      </c>
      <c r="G186" s="11" t="s">
        <v>635</v>
      </c>
      <c r="H186" s="11">
        <v>404</v>
      </c>
      <c r="I186" s="11" t="s">
        <v>26</v>
      </c>
      <c r="J186" s="11">
        <v>22735015</v>
      </c>
      <c r="K186" s="11" t="s">
        <v>636</v>
      </c>
      <c r="L186" s="11" t="s">
        <v>313</v>
      </c>
      <c r="M186" s="11" t="s">
        <v>68</v>
      </c>
      <c r="P186" s="11" t="s">
        <v>637</v>
      </c>
      <c r="Q186" s="13" t="s">
        <v>638</v>
      </c>
      <c r="R186" s="11" t="s">
        <v>639</v>
      </c>
      <c r="S186" s="12" t="s">
        <v>33</v>
      </c>
      <c r="T186" s="11" t="str">
        <f t="shared" si="4"/>
        <v>-22.9172515</v>
      </c>
      <c r="U186" s="11" t="str">
        <f t="shared" si="5"/>
        <v>-43.3613675</v>
      </c>
    </row>
    <row r="187" spans="1:21">
      <c r="A187" s="11" t="s">
        <v>1213</v>
      </c>
      <c r="B187" s="11" t="s">
        <v>965</v>
      </c>
      <c r="C187" s="11">
        <v>34046647000176</v>
      </c>
      <c r="E187" s="12" t="s">
        <v>23</v>
      </c>
      <c r="F187" s="12" t="s">
        <v>1214</v>
      </c>
      <c r="G187" s="11" t="s">
        <v>1215</v>
      </c>
      <c r="H187" s="11">
        <v>423</v>
      </c>
      <c r="I187" s="11" t="s">
        <v>1216</v>
      </c>
      <c r="J187" s="11">
        <v>68458100</v>
      </c>
      <c r="K187" s="11" t="s">
        <v>1217</v>
      </c>
      <c r="L187" s="11" t="s">
        <v>1218</v>
      </c>
      <c r="M187" s="11" t="s">
        <v>225</v>
      </c>
      <c r="P187" s="11" t="s">
        <v>1219</v>
      </c>
      <c r="Q187" s="13" t="s">
        <v>1220</v>
      </c>
      <c r="R187" s="11" t="s">
        <v>1221</v>
      </c>
      <c r="S187" s="12" t="s">
        <v>33</v>
      </c>
      <c r="T187" s="11" t="str">
        <f t="shared" si="4"/>
        <v>-3.7566777</v>
      </c>
      <c r="U187" s="11" t="str">
        <f t="shared" si="5"/>
        <v>-49.6690864</v>
      </c>
    </row>
    <row r="188" spans="1:21">
      <c r="A188" s="11" t="s">
        <v>1222</v>
      </c>
      <c r="B188" s="11" t="s">
        <v>1223</v>
      </c>
      <c r="C188" s="11">
        <v>48643052000102</v>
      </c>
      <c r="E188" s="12" t="s">
        <v>23</v>
      </c>
      <c r="F188" s="12" t="s">
        <v>913</v>
      </c>
      <c r="G188" s="11" t="s">
        <v>1224</v>
      </c>
      <c r="H188" s="11">
        <v>750</v>
      </c>
      <c r="I188" s="11" t="s">
        <v>1225</v>
      </c>
      <c r="J188" s="11">
        <v>29146201</v>
      </c>
      <c r="K188" s="11" t="s">
        <v>1198</v>
      </c>
      <c r="L188" s="11" t="s">
        <v>1226</v>
      </c>
      <c r="M188" s="11" t="s">
        <v>918</v>
      </c>
      <c r="P188" s="11" t="s">
        <v>1227</v>
      </c>
      <c r="Q188" s="13" t="s">
        <v>1228</v>
      </c>
      <c r="R188" s="11" t="s">
        <v>1229</v>
      </c>
      <c r="S188" s="12" t="s">
        <v>33</v>
      </c>
      <c r="T188" s="11" t="str">
        <f t="shared" si="4"/>
        <v>-20.3427391</v>
      </c>
      <c r="U188" s="11" t="str">
        <f t="shared" si="5"/>
        <v>-40.3848241</v>
      </c>
    </row>
    <row r="189" spans="1:21">
      <c r="P189" s="11"/>
    </row>
    <row r="190" spans="1:21">
      <c r="A190" s="11" t="s">
        <v>1230</v>
      </c>
      <c r="B190" s="11" t="s">
        <v>1231</v>
      </c>
      <c r="C190" s="11">
        <v>50860157000165</v>
      </c>
      <c r="E190" s="12" t="s">
        <v>23</v>
      </c>
      <c r="F190" s="12" t="s">
        <v>1000</v>
      </c>
      <c r="G190" s="11" t="s">
        <v>1232</v>
      </c>
      <c r="H190" s="11">
        <v>852</v>
      </c>
      <c r="I190" s="11" t="s">
        <v>1233</v>
      </c>
      <c r="J190" s="11">
        <v>64280000</v>
      </c>
      <c r="K190" s="11" t="s">
        <v>39</v>
      </c>
      <c r="L190" s="11" t="s">
        <v>1234</v>
      </c>
      <c r="M190" s="11" t="s">
        <v>391</v>
      </c>
      <c r="P190" s="11" t="s">
        <v>1235</v>
      </c>
      <c r="Q190" s="13" t="s">
        <v>1236</v>
      </c>
      <c r="R190" s="11" t="s">
        <v>1237</v>
      </c>
      <c r="S190" s="12" t="s">
        <v>33</v>
      </c>
      <c r="T190" s="11" t="str">
        <f t="shared" si="4"/>
        <v>-4.8339574</v>
      </c>
      <c r="U190" s="11" t="str">
        <f t="shared" si="5"/>
        <v>-42.1739786</v>
      </c>
    </row>
    <row r="191" spans="1:21">
      <c r="A191" s="11" t="s">
        <v>1238</v>
      </c>
      <c r="B191" s="11" t="s">
        <v>1239</v>
      </c>
      <c r="C191" s="11">
        <v>48677881000106</v>
      </c>
      <c r="E191" s="12" t="s">
        <v>23</v>
      </c>
      <c r="F191" s="12" t="s">
        <v>1240</v>
      </c>
      <c r="G191" s="11" t="s">
        <v>1241</v>
      </c>
      <c r="H191" s="11">
        <v>1</v>
      </c>
      <c r="I191" s="11" t="s">
        <v>1242</v>
      </c>
      <c r="J191" s="11">
        <v>20220310</v>
      </c>
      <c r="K191" s="11" t="s">
        <v>1243</v>
      </c>
      <c r="L191" s="11" t="s">
        <v>313</v>
      </c>
      <c r="M191" s="11" t="s">
        <v>68</v>
      </c>
      <c r="P191" s="11" t="s">
        <v>1244</v>
      </c>
      <c r="Q191" s="13" t="s">
        <v>1245</v>
      </c>
      <c r="R191" s="11" t="s">
        <v>1246</v>
      </c>
      <c r="S191" s="12" t="s">
        <v>33</v>
      </c>
      <c r="T191" s="11" t="str">
        <f t="shared" si="4"/>
        <v>-22.9082272</v>
      </c>
      <c r="U191" s="11" t="str">
        <f t="shared" si="5"/>
        <v>-43.2098951</v>
      </c>
    </row>
    <row r="192" spans="1:21">
      <c r="A192" s="11" t="s">
        <v>1247</v>
      </c>
      <c r="B192" s="11" t="s">
        <v>1248</v>
      </c>
      <c r="C192" s="11">
        <v>43374954000177</v>
      </c>
      <c r="E192" s="12" t="s">
        <v>23</v>
      </c>
      <c r="F192" s="12" t="s">
        <v>1249</v>
      </c>
      <c r="G192" s="11" t="s">
        <v>1250</v>
      </c>
      <c r="H192" s="11">
        <v>20</v>
      </c>
      <c r="I192" s="11" t="s">
        <v>1251</v>
      </c>
      <c r="J192" s="11">
        <v>40350250</v>
      </c>
      <c r="K192" s="11" t="s">
        <v>1252</v>
      </c>
      <c r="L192" s="11" t="s">
        <v>755</v>
      </c>
      <c r="M192" s="11" t="s">
        <v>86</v>
      </c>
      <c r="P192" s="11" t="s">
        <v>1253</v>
      </c>
      <c r="Q192" s="13">
        <v>-12.946865600000001</v>
      </c>
      <c r="R192" s="11">
        <v>-38.4761813</v>
      </c>
      <c r="S192" s="12" t="s">
        <v>70</v>
      </c>
      <c r="T192" s="11" t="str">
        <f t="shared" si="4"/>
        <v>-12.9468656</v>
      </c>
      <c r="U192" s="11" t="str">
        <f t="shared" si="5"/>
        <v>-38.4761813</v>
      </c>
    </row>
    <row r="193" spans="1:21">
      <c r="A193" s="11" t="s">
        <v>1254</v>
      </c>
      <c r="B193" s="11" t="s">
        <v>1255</v>
      </c>
      <c r="C193" s="11">
        <v>12088200000127</v>
      </c>
      <c r="E193" s="12" t="s">
        <v>23</v>
      </c>
      <c r="F193" s="12" t="s">
        <v>1256</v>
      </c>
      <c r="G193" s="11" t="s">
        <v>1257</v>
      </c>
      <c r="H193" s="11">
        <v>18</v>
      </c>
      <c r="I193" s="11" t="s">
        <v>692</v>
      </c>
      <c r="J193" s="11">
        <v>65055310</v>
      </c>
      <c r="K193" s="11" t="s">
        <v>1258</v>
      </c>
      <c r="L193" s="11" t="s">
        <v>511</v>
      </c>
      <c r="M193" s="11" t="s">
        <v>281</v>
      </c>
      <c r="P193" s="11" t="s">
        <v>1259</v>
      </c>
      <c r="Q193" s="13" t="s">
        <v>1260</v>
      </c>
      <c r="R193" s="11" t="s">
        <v>1261</v>
      </c>
      <c r="S193" s="12" t="s">
        <v>33</v>
      </c>
      <c r="T193" s="11" t="str">
        <f t="shared" si="4"/>
        <v>-2.5666066</v>
      </c>
      <c r="U193" s="11" t="str">
        <f t="shared" si="5"/>
        <v>-44.2267377</v>
      </c>
    </row>
    <row r="194" spans="1:21">
      <c r="A194" s="11" t="s">
        <v>1262</v>
      </c>
      <c r="B194" s="11" t="s">
        <v>1263</v>
      </c>
      <c r="C194" s="11">
        <v>48751147000140</v>
      </c>
      <c r="E194" s="12" t="s">
        <v>23</v>
      </c>
      <c r="F194" s="12" t="s">
        <v>302</v>
      </c>
      <c r="G194" s="11" t="s">
        <v>1264</v>
      </c>
      <c r="H194" s="11">
        <v>987</v>
      </c>
      <c r="I194" s="11" t="s">
        <v>1265</v>
      </c>
      <c r="J194" s="11">
        <v>65074115</v>
      </c>
      <c r="K194" s="11" t="s">
        <v>1266</v>
      </c>
      <c r="L194" s="11" t="s">
        <v>511</v>
      </c>
      <c r="M194" s="11" t="s">
        <v>281</v>
      </c>
      <c r="P194" s="11" t="s">
        <v>1267</v>
      </c>
      <c r="Q194" s="13" t="s">
        <v>1268</v>
      </c>
      <c r="R194" s="11" t="s">
        <v>1269</v>
      </c>
      <c r="S194" s="12" t="s">
        <v>33</v>
      </c>
      <c r="T194" s="11" t="str">
        <f t="shared" ref="T194:T257" si="6">SUBSTITUTE(Q:Q,",",".")</f>
        <v>-2.5295051</v>
      </c>
      <c r="U194" s="11" t="str">
        <f t="shared" ref="U194:U257" si="7">SUBSTITUTE(R:R,",",".")</f>
        <v>-44.2559640</v>
      </c>
    </row>
    <row r="195" spans="1:21">
      <c r="A195" s="11" t="s">
        <v>1270</v>
      </c>
      <c r="B195" s="11" t="s">
        <v>1271</v>
      </c>
      <c r="C195" s="11">
        <v>47727155000198</v>
      </c>
      <c r="E195" s="12" t="s">
        <v>23</v>
      </c>
      <c r="F195" s="12" t="s">
        <v>1272</v>
      </c>
      <c r="G195" s="11" t="s">
        <v>1273</v>
      </c>
      <c r="H195" s="11">
        <v>151</v>
      </c>
      <c r="I195" s="11" t="s">
        <v>1274</v>
      </c>
      <c r="J195" s="11">
        <v>56308100</v>
      </c>
      <c r="K195" s="11" t="s">
        <v>1275</v>
      </c>
      <c r="L195" s="11" t="s">
        <v>58</v>
      </c>
      <c r="M195" s="11" t="s">
        <v>29</v>
      </c>
      <c r="P195" s="11" t="s">
        <v>1276</v>
      </c>
      <c r="Q195" s="13" t="s">
        <v>1277</v>
      </c>
      <c r="R195" s="11" t="s">
        <v>1278</v>
      </c>
      <c r="S195" s="12" t="s">
        <v>33</v>
      </c>
      <c r="T195" s="11" t="str">
        <f t="shared" si="6"/>
        <v>-9.3978978</v>
      </c>
      <c r="U195" s="11" t="str">
        <f t="shared" si="7"/>
        <v>-40.5106316</v>
      </c>
    </row>
    <row r="196" spans="1:21">
      <c r="A196" s="11" t="s">
        <v>1279</v>
      </c>
      <c r="B196" s="11" t="s">
        <v>1280</v>
      </c>
      <c r="C196" s="11">
        <v>33822270000137</v>
      </c>
      <c r="E196" s="12" t="s">
        <v>23</v>
      </c>
      <c r="F196" s="12" t="s">
        <v>36</v>
      </c>
      <c r="G196" s="11" t="s">
        <v>1281</v>
      </c>
      <c r="H196" s="11">
        <v>679</v>
      </c>
      <c r="I196" s="11" t="s">
        <v>1282</v>
      </c>
      <c r="J196" s="11">
        <v>56250000</v>
      </c>
      <c r="K196" s="11" t="s">
        <v>39</v>
      </c>
      <c r="L196" s="11" t="s">
        <v>1283</v>
      </c>
      <c r="M196" s="11" t="s">
        <v>29</v>
      </c>
      <c r="P196" s="11" t="s">
        <v>1284</v>
      </c>
      <c r="Q196" s="13" t="s">
        <v>1285</v>
      </c>
      <c r="R196" s="11" t="s">
        <v>1286</v>
      </c>
      <c r="S196" s="12" t="s">
        <v>33</v>
      </c>
      <c r="T196" s="11" t="str">
        <f t="shared" si="6"/>
        <v>-7.7590000</v>
      </c>
      <c r="U196" s="11" t="str">
        <f t="shared" si="7"/>
        <v>-40.2647200</v>
      </c>
    </row>
    <row r="197" spans="1:21">
      <c r="A197" s="11" t="s">
        <v>1287</v>
      </c>
      <c r="B197" s="11" t="s">
        <v>1288</v>
      </c>
      <c r="C197" s="11">
        <v>49464556000128</v>
      </c>
      <c r="E197" s="12" t="s">
        <v>23</v>
      </c>
      <c r="F197" s="12" t="s">
        <v>1289</v>
      </c>
      <c r="G197" s="11" t="s">
        <v>1290</v>
      </c>
      <c r="H197" s="11">
        <v>210</v>
      </c>
      <c r="I197" s="11" t="s">
        <v>26</v>
      </c>
      <c r="J197" s="11">
        <v>64770000</v>
      </c>
      <c r="K197" s="11" t="s">
        <v>39</v>
      </c>
      <c r="L197" s="11" t="s">
        <v>1291</v>
      </c>
      <c r="M197" s="11" t="s">
        <v>391</v>
      </c>
      <c r="P197" s="11" t="s">
        <v>1292</v>
      </c>
      <c r="Q197" s="13" t="s">
        <v>1293</v>
      </c>
      <c r="R197" s="11" t="s">
        <v>1294</v>
      </c>
      <c r="S197" s="12" t="s">
        <v>33</v>
      </c>
      <c r="T197" s="11" t="str">
        <f t="shared" si="6"/>
        <v>-9.0149761</v>
      </c>
      <c r="U197" s="11" t="str">
        <f t="shared" si="7"/>
        <v>-42.6888427</v>
      </c>
    </row>
    <row r="198" spans="1:21">
      <c r="A198" s="11" t="s">
        <v>1295</v>
      </c>
      <c r="B198" s="11" t="s">
        <v>1296</v>
      </c>
      <c r="C198" s="11">
        <v>47788383000178</v>
      </c>
      <c r="E198" s="12" t="s">
        <v>23</v>
      </c>
      <c r="F198" s="12" t="s">
        <v>1297</v>
      </c>
      <c r="G198" s="11" t="s">
        <v>1298</v>
      </c>
      <c r="H198" s="11">
        <v>157</v>
      </c>
      <c r="I198" s="11" t="s">
        <v>26</v>
      </c>
      <c r="J198" s="11">
        <v>55641100</v>
      </c>
      <c r="K198" s="11" t="s">
        <v>39</v>
      </c>
      <c r="L198" s="11" t="s">
        <v>1299</v>
      </c>
      <c r="M198" s="11" t="s">
        <v>281</v>
      </c>
      <c r="P198" s="11" t="s">
        <v>1300</v>
      </c>
      <c r="Q198" s="13" t="s">
        <v>1301</v>
      </c>
      <c r="R198" s="11" t="s">
        <v>1302</v>
      </c>
      <c r="S198" s="12" t="s">
        <v>33</v>
      </c>
      <c r="T198" s="11" t="str">
        <f t="shared" si="6"/>
        <v>-8.2030898</v>
      </c>
      <c r="U198" s="11" t="str">
        <f t="shared" si="7"/>
        <v>-35.5682486</v>
      </c>
    </row>
    <row r="199" spans="1:21">
      <c r="A199" s="11" t="s">
        <v>1303</v>
      </c>
      <c r="B199" s="11" t="s">
        <v>1304</v>
      </c>
      <c r="C199" s="11">
        <v>47783876000115</v>
      </c>
      <c r="E199" s="12" t="s">
        <v>23</v>
      </c>
      <c r="F199" s="12" t="s">
        <v>1305</v>
      </c>
      <c r="G199" s="11" t="s">
        <v>1306</v>
      </c>
      <c r="H199" s="11">
        <v>386</v>
      </c>
      <c r="I199" s="11" t="s">
        <v>305</v>
      </c>
      <c r="J199" s="11">
        <v>57020030</v>
      </c>
      <c r="K199" s="11" t="s">
        <v>39</v>
      </c>
      <c r="L199" s="11" t="s">
        <v>146</v>
      </c>
      <c r="M199" s="11" t="s">
        <v>147</v>
      </c>
      <c r="P199" s="11" t="s">
        <v>1307</v>
      </c>
      <c r="Q199" s="13" t="s">
        <v>1308</v>
      </c>
      <c r="R199" s="11" t="s">
        <v>1309</v>
      </c>
      <c r="S199" s="12" t="s">
        <v>33</v>
      </c>
      <c r="T199" s="11" t="str">
        <f t="shared" si="6"/>
        <v>-9.6645324</v>
      </c>
      <c r="U199" s="11" t="str">
        <f t="shared" si="7"/>
        <v>-35.7417624</v>
      </c>
    </row>
    <row r="200" spans="1:21">
      <c r="A200" s="11" t="s">
        <v>1310</v>
      </c>
      <c r="B200" s="11" t="s">
        <v>245</v>
      </c>
      <c r="C200" s="11">
        <v>34854383002201</v>
      </c>
      <c r="E200" s="12" t="s">
        <v>23</v>
      </c>
      <c r="F200" s="12" t="s">
        <v>1311</v>
      </c>
      <c r="G200" s="11" t="s">
        <v>1312</v>
      </c>
      <c r="H200" s="11">
        <v>1500</v>
      </c>
      <c r="I200" s="11" t="s">
        <v>26</v>
      </c>
      <c r="J200" s="11">
        <v>14096901</v>
      </c>
      <c r="K200" s="11" t="s">
        <v>1313</v>
      </c>
      <c r="L200" s="11" t="s">
        <v>1314</v>
      </c>
      <c r="M200" s="11" t="s">
        <v>78</v>
      </c>
      <c r="P200" s="11" t="s">
        <v>1315</v>
      </c>
      <c r="Q200" s="13" t="s">
        <v>1316</v>
      </c>
      <c r="R200" s="11" t="s">
        <v>1317</v>
      </c>
      <c r="S200" s="12" t="s">
        <v>33</v>
      </c>
      <c r="T200" s="11" t="str">
        <f t="shared" si="6"/>
        <v>-21.2057791</v>
      </c>
      <c r="U200" s="11" t="str">
        <f t="shared" si="7"/>
        <v>-47.7690397</v>
      </c>
    </row>
    <row r="201" spans="1:21">
      <c r="A201" s="11" t="s">
        <v>1318</v>
      </c>
      <c r="B201" s="11" t="s">
        <v>1319</v>
      </c>
      <c r="C201" s="11">
        <v>48847978000110</v>
      </c>
      <c r="E201" s="12" t="s">
        <v>23</v>
      </c>
      <c r="F201" s="12" t="s">
        <v>1320</v>
      </c>
      <c r="G201" s="11" t="s">
        <v>1321</v>
      </c>
      <c r="H201" s="11">
        <v>14</v>
      </c>
      <c r="I201" s="11" t="s">
        <v>1322</v>
      </c>
      <c r="J201" s="11">
        <v>65914255</v>
      </c>
      <c r="K201" s="11" t="s">
        <v>1323</v>
      </c>
      <c r="L201" s="11" t="s">
        <v>368</v>
      </c>
      <c r="M201" s="11" t="s">
        <v>281</v>
      </c>
      <c r="P201" s="11" t="s">
        <v>1324</v>
      </c>
      <c r="Q201" s="13" t="s">
        <v>1325</v>
      </c>
      <c r="R201" s="11" t="s">
        <v>1326</v>
      </c>
      <c r="S201" s="12" t="s">
        <v>33</v>
      </c>
      <c r="T201" s="11" t="str">
        <f t="shared" si="6"/>
        <v>-5.5137150</v>
      </c>
      <c r="U201" s="11" t="str">
        <f t="shared" si="7"/>
        <v>-47.4481716</v>
      </c>
    </row>
    <row r="202" spans="1:21">
      <c r="A202" s="11" t="s">
        <v>1327</v>
      </c>
      <c r="B202" s="11" t="s">
        <v>1328</v>
      </c>
      <c r="C202" s="11">
        <v>43158093000190</v>
      </c>
      <c r="E202" s="12" t="s">
        <v>23</v>
      </c>
      <c r="F202" s="12" t="s">
        <v>1329</v>
      </c>
      <c r="G202" s="11" t="s">
        <v>1330</v>
      </c>
      <c r="H202" s="11">
        <v>250</v>
      </c>
      <c r="I202" s="11" t="s">
        <v>1331</v>
      </c>
      <c r="J202" s="11">
        <v>49020120</v>
      </c>
      <c r="K202" s="11" t="s">
        <v>1332</v>
      </c>
      <c r="L202" s="11" t="s">
        <v>48</v>
      </c>
      <c r="M202" s="11" t="s">
        <v>49</v>
      </c>
      <c r="P202" s="11" t="s">
        <v>1333</v>
      </c>
      <c r="Q202" s="13" t="s">
        <v>1334</v>
      </c>
      <c r="R202" s="11" t="s">
        <v>1335</v>
      </c>
      <c r="S202" s="12" t="s">
        <v>33</v>
      </c>
      <c r="T202" s="11" t="str">
        <f t="shared" si="6"/>
        <v>-10.9329859</v>
      </c>
      <c r="U202" s="11" t="str">
        <f t="shared" si="7"/>
        <v>-37.0563270</v>
      </c>
    </row>
    <row r="203" spans="1:21">
      <c r="A203" s="11" t="s">
        <v>1336</v>
      </c>
      <c r="B203" s="11" t="s">
        <v>1337</v>
      </c>
      <c r="C203" s="11">
        <v>39761254000168</v>
      </c>
      <c r="E203" s="12" t="s">
        <v>23</v>
      </c>
      <c r="F203" s="12" t="s">
        <v>1338</v>
      </c>
      <c r="G203" s="11" t="s">
        <v>1339</v>
      </c>
      <c r="H203" s="11" t="s">
        <v>1340</v>
      </c>
      <c r="I203" s="11" t="s">
        <v>26</v>
      </c>
      <c r="J203" s="11">
        <v>46430000</v>
      </c>
      <c r="K203" s="11" t="s">
        <v>39</v>
      </c>
      <c r="L203" s="11" t="s">
        <v>1341</v>
      </c>
      <c r="M203" s="11" t="s">
        <v>86</v>
      </c>
      <c r="P203" s="11" t="s">
        <v>1342</v>
      </c>
      <c r="Q203" s="13">
        <v>-14.2218535</v>
      </c>
      <c r="R203" s="11">
        <v>-42.777864899999997</v>
      </c>
      <c r="S203" s="12" t="s">
        <v>70</v>
      </c>
      <c r="T203" s="11" t="str">
        <f t="shared" si="6"/>
        <v>-14.2218535</v>
      </c>
      <c r="U203" s="11" t="str">
        <f t="shared" si="7"/>
        <v>-42.7778649</v>
      </c>
    </row>
    <row r="204" spans="1:21">
      <c r="A204" s="11" t="s">
        <v>1343</v>
      </c>
      <c r="B204" s="11" t="s">
        <v>1069</v>
      </c>
      <c r="C204" s="11">
        <v>47976040000218</v>
      </c>
      <c r="E204" s="12" t="s">
        <v>23</v>
      </c>
      <c r="F204" s="12" t="s">
        <v>1070</v>
      </c>
      <c r="G204" s="11" t="s">
        <v>1344</v>
      </c>
      <c r="H204" s="11">
        <v>361</v>
      </c>
      <c r="I204" s="11" t="s">
        <v>26</v>
      </c>
      <c r="J204" s="11">
        <v>65700000</v>
      </c>
      <c r="K204" s="11" t="s">
        <v>39</v>
      </c>
      <c r="L204" s="11" t="s">
        <v>1345</v>
      </c>
      <c r="M204" s="11" t="s">
        <v>281</v>
      </c>
      <c r="P204" s="11" t="s">
        <v>1346</v>
      </c>
      <c r="Q204" s="13" t="s">
        <v>1347</v>
      </c>
      <c r="R204" s="11" t="s">
        <v>1348</v>
      </c>
      <c r="S204" s="12" t="s">
        <v>33</v>
      </c>
      <c r="T204" s="11" t="str">
        <f t="shared" si="6"/>
        <v>-4.2318132</v>
      </c>
      <c r="U204" s="11" t="str">
        <f t="shared" si="7"/>
        <v>-44.7811670</v>
      </c>
    </row>
    <row r="205" spans="1:21">
      <c r="A205" s="11" t="s">
        <v>1349</v>
      </c>
      <c r="B205" s="11" t="s">
        <v>1350</v>
      </c>
      <c r="C205" s="11">
        <v>50995452000129</v>
      </c>
      <c r="E205" s="12" t="s">
        <v>23</v>
      </c>
      <c r="F205" s="12" t="s">
        <v>1351</v>
      </c>
      <c r="G205" s="11" t="s">
        <v>1352</v>
      </c>
      <c r="H205" s="11">
        <v>41</v>
      </c>
      <c r="I205" s="11" t="s">
        <v>1353</v>
      </c>
      <c r="J205" s="11">
        <v>34800000</v>
      </c>
      <c r="K205" s="11" t="s">
        <v>1354</v>
      </c>
      <c r="L205" s="11" t="s">
        <v>1355</v>
      </c>
      <c r="M205" s="11" t="s">
        <v>404</v>
      </c>
      <c r="P205" s="11" t="s">
        <v>1356</v>
      </c>
      <c r="Q205" s="13">
        <v>-19.88</v>
      </c>
      <c r="R205" s="11">
        <v>-43.669719999999998</v>
      </c>
      <c r="S205" s="12" t="s">
        <v>70</v>
      </c>
      <c r="T205" s="11" t="str">
        <f t="shared" si="6"/>
        <v>-19.88</v>
      </c>
      <c r="U205" s="11" t="str">
        <f t="shared" si="7"/>
        <v>-43.66972</v>
      </c>
    </row>
    <row r="206" spans="1:21">
      <c r="A206" s="11" t="s">
        <v>1357</v>
      </c>
      <c r="B206" s="11" t="s">
        <v>1358</v>
      </c>
      <c r="C206" s="11">
        <v>48156677000140</v>
      </c>
      <c r="E206" s="12" t="s">
        <v>23</v>
      </c>
      <c r="F206" s="12" t="s">
        <v>1359</v>
      </c>
      <c r="G206" s="11" t="s">
        <v>1360</v>
      </c>
      <c r="H206" s="11">
        <v>34</v>
      </c>
      <c r="I206" s="11" t="s">
        <v>1361</v>
      </c>
      <c r="J206" s="11">
        <v>53635158</v>
      </c>
      <c r="K206" s="11" t="s">
        <v>1362</v>
      </c>
      <c r="L206" s="11" t="s">
        <v>1363</v>
      </c>
      <c r="M206" s="11" t="s">
        <v>29</v>
      </c>
      <c r="P206" s="11" t="s">
        <v>1364</v>
      </c>
      <c r="Q206" s="13" t="s">
        <v>1365</v>
      </c>
      <c r="R206" s="11" t="s">
        <v>1366</v>
      </c>
      <c r="S206" s="12" t="s">
        <v>33</v>
      </c>
      <c r="T206" s="11" t="str">
        <f t="shared" si="6"/>
        <v>-7.8699937</v>
      </c>
      <c r="U206" s="11" t="str">
        <f t="shared" si="7"/>
        <v>-34.9086448</v>
      </c>
    </row>
    <row r="207" spans="1:21">
      <c r="A207" s="11" t="s">
        <v>1367</v>
      </c>
      <c r="B207" s="11" t="s">
        <v>1368</v>
      </c>
      <c r="C207" s="11">
        <v>34854383002392</v>
      </c>
      <c r="E207" s="12" t="s">
        <v>23</v>
      </c>
      <c r="F207" s="12" t="s">
        <v>1369</v>
      </c>
      <c r="G207" s="11" t="s">
        <v>1370</v>
      </c>
      <c r="H207" s="11">
        <v>500</v>
      </c>
      <c r="I207" s="11" t="s">
        <v>26</v>
      </c>
      <c r="J207" s="11">
        <v>12235050</v>
      </c>
      <c r="K207" s="11" t="s">
        <v>1371</v>
      </c>
      <c r="L207" s="11" t="s">
        <v>794</v>
      </c>
      <c r="M207" s="11" t="s">
        <v>78</v>
      </c>
      <c r="P207" s="11" t="s">
        <v>1372</v>
      </c>
      <c r="Q207" s="13" t="s">
        <v>1373</v>
      </c>
      <c r="R207" s="11" t="s">
        <v>1374</v>
      </c>
      <c r="S207" s="12" t="s">
        <v>33</v>
      </c>
      <c r="T207" s="11" t="str">
        <f t="shared" si="6"/>
        <v>-23.2329948</v>
      </c>
      <c r="U207" s="11" t="str">
        <f t="shared" si="7"/>
        <v>-45.8971914</v>
      </c>
    </row>
    <row r="208" spans="1:21">
      <c r="A208" s="11" t="s">
        <v>1375</v>
      </c>
      <c r="B208" s="11" t="s">
        <v>1376</v>
      </c>
      <c r="C208" s="11">
        <v>49065236000103</v>
      </c>
      <c r="E208" s="12" t="s">
        <v>23</v>
      </c>
      <c r="F208" s="12" t="s">
        <v>1377</v>
      </c>
      <c r="G208" s="11" t="s">
        <v>1378</v>
      </c>
      <c r="H208" s="11">
        <v>62</v>
      </c>
      <c r="I208" s="11" t="s">
        <v>1379</v>
      </c>
      <c r="J208" s="11">
        <v>58360000</v>
      </c>
      <c r="K208" s="11" t="s">
        <v>39</v>
      </c>
      <c r="L208" s="11" t="s">
        <v>1380</v>
      </c>
      <c r="M208" s="11" t="s">
        <v>187</v>
      </c>
      <c r="P208" s="11" t="s">
        <v>1381</v>
      </c>
      <c r="Q208" s="13" t="s">
        <v>1382</v>
      </c>
      <c r="R208" s="11" t="s">
        <v>1383</v>
      </c>
      <c r="S208" s="12" t="s">
        <v>33</v>
      </c>
      <c r="T208" s="11" t="str">
        <f t="shared" si="6"/>
        <v>-7.3299566</v>
      </c>
      <c r="U208" s="11" t="str">
        <f t="shared" si="7"/>
        <v>-35.3359995</v>
      </c>
    </row>
    <row r="209" spans="1:21">
      <c r="A209" s="11" t="s">
        <v>1384</v>
      </c>
      <c r="B209" s="11" t="s">
        <v>1385</v>
      </c>
      <c r="C209" s="11">
        <v>43954265000131</v>
      </c>
      <c r="E209" s="12" t="s">
        <v>23</v>
      </c>
      <c r="F209" s="12" t="s">
        <v>1054</v>
      </c>
      <c r="G209" s="11" t="s">
        <v>1386</v>
      </c>
      <c r="H209" s="11">
        <v>8</v>
      </c>
      <c r="I209" s="11" t="s">
        <v>26</v>
      </c>
      <c r="J209" s="11">
        <v>65065470</v>
      </c>
      <c r="K209" s="11" t="s">
        <v>1387</v>
      </c>
      <c r="L209" s="11" t="s">
        <v>511</v>
      </c>
      <c r="M209" s="11" t="s">
        <v>281</v>
      </c>
      <c r="P209" s="11" t="s">
        <v>1057</v>
      </c>
      <c r="Q209" s="13" t="s">
        <v>1058</v>
      </c>
      <c r="R209" s="11" t="s">
        <v>1059</v>
      </c>
      <c r="S209" s="12" t="s">
        <v>33</v>
      </c>
      <c r="T209" s="11" t="str">
        <f t="shared" si="6"/>
        <v>-2.5231547</v>
      </c>
      <c r="U209" s="11" t="str">
        <f t="shared" si="7"/>
        <v>-44.2260173</v>
      </c>
    </row>
    <row r="210" spans="1:21">
      <c r="A210" s="11" t="s">
        <v>1388</v>
      </c>
      <c r="B210" s="11" t="s">
        <v>1389</v>
      </c>
      <c r="C210" s="11">
        <v>49229196000180</v>
      </c>
      <c r="E210" s="12" t="s">
        <v>23</v>
      </c>
      <c r="F210" s="12" t="s">
        <v>302</v>
      </c>
      <c r="G210" s="11" t="s">
        <v>1390</v>
      </c>
      <c r="H210" s="11">
        <v>5777</v>
      </c>
      <c r="I210" s="11" t="s">
        <v>26</v>
      </c>
      <c r="J210" s="11">
        <v>50910380</v>
      </c>
      <c r="K210" s="11" t="s">
        <v>1391</v>
      </c>
      <c r="L210" s="11" t="s">
        <v>28</v>
      </c>
      <c r="M210" s="11" t="s">
        <v>29</v>
      </c>
      <c r="P210" s="11" t="s">
        <v>1392</v>
      </c>
      <c r="Q210" s="13" t="s">
        <v>1393</v>
      </c>
      <c r="R210" s="11" t="s">
        <v>1394</v>
      </c>
      <c r="S210" s="12" t="s">
        <v>33</v>
      </c>
      <c r="T210" s="11" t="str">
        <f t="shared" si="6"/>
        <v>-8.0740673</v>
      </c>
      <c r="U210" s="11" t="str">
        <f t="shared" si="7"/>
        <v>-34.9372774</v>
      </c>
    </row>
    <row r="211" spans="1:21">
      <c r="A211" s="11" t="s">
        <v>1395</v>
      </c>
      <c r="B211" s="11" t="s">
        <v>1396</v>
      </c>
      <c r="C211" s="11">
        <v>33790181000156</v>
      </c>
      <c r="E211" s="12" t="s">
        <v>23</v>
      </c>
      <c r="F211" s="12" t="s">
        <v>1397</v>
      </c>
      <c r="G211" s="11" t="s">
        <v>1398</v>
      </c>
      <c r="H211" s="11">
        <v>181</v>
      </c>
      <c r="I211" s="11" t="s">
        <v>1399</v>
      </c>
      <c r="J211" s="11">
        <v>56140000</v>
      </c>
      <c r="K211" s="11" t="s">
        <v>39</v>
      </c>
      <c r="L211" s="11" t="s">
        <v>1400</v>
      </c>
      <c r="M211" s="11" t="s">
        <v>86</v>
      </c>
      <c r="P211" s="11" t="s">
        <v>1401</v>
      </c>
      <c r="Q211" s="13" t="s">
        <v>1402</v>
      </c>
      <c r="R211" s="11" t="s">
        <v>1403</v>
      </c>
      <c r="S211" s="12" t="s">
        <v>33</v>
      </c>
      <c r="T211" s="11" t="str">
        <f t="shared" si="6"/>
        <v>-7.9476953</v>
      </c>
      <c r="U211" s="11" t="str">
        <f t="shared" si="7"/>
        <v>-39.2957383</v>
      </c>
    </row>
    <row r="212" spans="1:21">
      <c r="A212" s="11" t="s">
        <v>1404</v>
      </c>
      <c r="B212" s="11" t="s">
        <v>262</v>
      </c>
      <c r="C212" s="11">
        <v>31445469000168</v>
      </c>
      <c r="E212" s="12" t="s">
        <v>23</v>
      </c>
      <c r="F212" s="12" t="s">
        <v>263</v>
      </c>
      <c r="G212" s="11" t="s">
        <v>1405</v>
      </c>
      <c r="H212" s="11">
        <v>3779</v>
      </c>
      <c r="I212" s="11" t="s">
        <v>26</v>
      </c>
      <c r="J212" s="11">
        <v>5577200</v>
      </c>
      <c r="K212" s="11" t="s">
        <v>1406</v>
      </c>
      <c r="L212" s="11" t="s">
        <v>77</v>
      </c>
      <c r="M212" s="11" t="s">
        <v>78</v>
      </c>
      <c r="P212" s="11" t="s">
        <v>1407</v>
      </c>
      <c r="Q212" s="13">
        <v>-21.48028</v>
      </c>
      <c r="R212" s="11">
        <v>-56.138060000000003</v>
      </c>
      <c r="S212" s="12" t="s">
        <v>70</v>
      </c>
      <c r="T212" s="11" t="str">
        <f t="shared" si="6"/>
        <v>-21.48028</v>
      </c>
      <c r="U212" s="11" t="str">
        <f t="shared" si="7"/>
        <v>-56.13806</v>
      </c>
    </row>
    <row r="213" spans="1:21">
      <c r="P213" s="11"/>
    </row>
    <row r="214" spans="1:21">
      <c r="A214" s="11" t="s">
        <v>1408</v>
      </c>
      <c r="B214" s="11" t="s">
        <v>1409</v>
      </c>
      <c r="C214" s="11">
        <v>22782485000155</v>
      </c>
      <c r="E214" s="12" t="s">
        <v>23</v>
      </c>
      <c r="F214" s="12" t="s">
        <v>1410</v>
      </c>
      <c r="G214" s="11" t="s">
        <v>1411</v>
      </c>
      <c r="H214" s="11">
        <v>151</v>
      </c>
      <c r="I214" s="11" t="s">
        <v>26</v>
      </c>
      <c r="J214" s="11">
        <v>49500214</v>
      </c>
      <c r="K214" s="11" t="s">
        <v>39</v>
      </c>
      <c r="L214" s="11" t="s">
        <v>1380</v>
      </c>
      <c r="M214" s="11" t="s">
        <v>49</v>
      </c>
      <c r="P214" s="11" t="s">
        <v>1412</v>
      </c>
      <c r="Q214" s="13">
        <v>-11.192098100000001</v>
      </c>
      <c r="R214" s="11">
        <v>-38.001820100000003</v>
      </c>
      <c r="S214" s="12" t="s">
        <v>70</v>
      </c>
      <c r="T214" s="11" t="str">
        <f t="shared" si="6"/>
        <v>-11.1920981</v>
      </c>
      <c r="U214" s="11" t="str">
        <f t="shared" si="7"/>
        <v>-38.0018201</v>
      </c>
    </row>
    <row r="215" spans="1:21">
      <c r="A215" s="11" t="s">
        <v>1413</v>
      </c>
      <c r="B215" s="11" t="s">
        <v>1121</v>
      </c>
      <c r="C215" s="11">
        <v>47561789000113</v>
      </c>
      <c r="E215" s="12" t="s">
        <v>23</v>
      </c>
      <c r="F215" s="12" t="s">
        <v>1122</v>
      </c>
      <c r="G215" s="11" t="s">
        <v>1123</v>
      </c>
      <c r="H215" s="11">
        <v>85</v>
      </c>
      <c r="I215" s="11" t="s">
        <v>1414</v>
      </c>
      <c r="J215" s="11">
        <v>44700000</v>
      </c>
      <c r="K215" s="11" t="s">
        <v>39</v>
      </c>
      <c r="L215" s="11" t="s">
        <v>1124</v>
      </c>
      <c r="M215" s="11" t="s">
        <v>86</v>
      </c>
      <c r="P215" s="11" t="s">
        <v>1125</v>
      </c>
      <c r="Q215" s="13" t="s">
        <v>1126</v>
      </c>
      <c r="R215" s="11" t="s">
        <v>1127</v>
      </c>
      <c r="S215" s="12" t="s">
        <v>33</v>
      </c>
      <c r="T215" s="11" t="str">
        <f t="shared" si="6"/>
        <v>-11.1851561</v>
      </c>
      <c r="U215" s="11" t="str">
        <f t="shared" si="7"/>
        <v>-40.5112434</v>
      </c>
    </row>
    <row r="216" spans="1:21">
      <c r="A216" s="11" t="s">
        <v>1415</v>
      </c>
      <c r="B216" s="11" t="s">
        <v>1416</v>
      </c>
      <c r="C216" s="11">
        <v>46763529000168</v>
      </c>
      <c r="E216" s="12" t="s">
        <v>23</v>
      </c>
      <c r="F216" s="12" t="s">
        <v>1417</v>
      </c>
      <c r="G216" s="11" t="s">
        <v>1418</v>
      </c>
      <c r="H216" s="11">
        <v>16</v>
      </c>
      <c r="I216" s="11" t="s">
        <v>1132</v>
      </c>
      <c r="J216" s="11">
        <v>64860000</v>
      </c>
      <c r="K216" s="11" t="s">
        <v>1419</v>
      </c>
      <c r="L216" s="11" t="s">
        <v>1420</v>
      </c>
      <c r="M216" s="11" t="s">
        <v>391</v>
      </c>
      <c r="P216" s="11" t="s">
        <v>1421</v>
      </c>
      <c r="Q216" s="13" t="s">
        <v>1422</v>
      </c>
      <c r="R216" s="11" t="s">
        <v>1423</v>
      </c>
      <c r="S216" s="12" t="s">
        <v>33</v>
      </c>
      <c r="T216" s="11" t="str">
        <f t="shared" si="6"/>
        <v>-7.7970000</v>
      </c>
      <c r="U216" s="11" t="str">
        <f t="shared" si="7"/>
        <v>-44.5748709</v>
      </c>
    </row>
    <row r="217" spans="1:21">
      <c r="A217" s="11" t="s">
        <v>1424</v>
      </c>
      <c r="B217" s="11" t="s">
        <v>1368</v>
      </c>
      <c r="C217" s="11">
        <v>34854383002040</v>
      </c>
      <c r="E217" s="12" t="s">
        <v>23</v>
      </c>
      <c r="F217" s="12" t="s">
        <v>802</v>
      </c>
      <c r="G217" s="11" t="s">
        <v>1425</v>
      </c>
      <c r="H217" s="11" t="s">
        <v>291</v>
      </c>
      <c r="I217" s="11" t="s">
        <v>26</v>
      </c>
      <c r="J217" s="11">
        <v>2031200</v>
      </c>
      <c r="K217" s="11" t="s">
        <v>1426</v>
      </c>
      <c r="L217" s="11" t="s">
        <v>77</v>
      </c>
      <c r="M217" s="11" t="s">
        <v>78</v>
      </c>
      <c r="P217" s="11" t="s">
        <v>1427</v>
      </c>
      <c r="Q217" s="13">
        <v>-23.5276885</v>
      </c>
      <c r="R217" s="11">
        <v>-46.625380300000003</v>
      </c>
      <c r="S217" s="12" t="s">
        <v>70</v>
      </c>
      <c r="T217" s="11" t="str">
        <f t="shared" si="6"/>
        <v>-23.5276885</v>
      </c>
      <c r="U217" s="11" t="str">
        <f t="shared" si="7"/>
        <v>-46.6253803</v>
      </c>
    </row>
    <row r="218" spans="1:21">
      <c r="A218" s="11" t="s">
        <v>1428</v>
      </c>
      <c r="B218" s="11" t="s">
        <v>1429</v>
      </c>
      <c r="C218" s="11">
        <v>49515903000102</v>
      </c>
      <c r="E218" s="12" t="s">
        <v>23</v>
      </c>
      <c r="F218" s="12" t="s">
        <v>1430</v>
      </c>
      <c r="G218" s="11" t="s">
        <v>1431</v>
      </c>
      <c r="H218" s="11">
        <v>2225</v>
      </c>
      <c r="I218" s="11" t="s">
        <v>1432</v>
      </c>
      <c r="J218" s="11">
        <v>13223025</v>
      </c>
      <c r="K218" s="11" t="s">
        <v>1433</v>
      </c>
      <c r="L218" s="11" t="s">
        <v>1434</v>
      </c>
      <c r="M218" s="11" t="s">
        <v>78</v>
      </c>
      <c r="P218" s="11" t="s">
        <v>1435</v>
      </c>
      <c r="Q218" s="13" t="s">
        <v>1436</v>
      </c>
      <c r="R218" s="11" t="s">
        <v>1437</v>
      </c>
      <c r="S218" s="12" t="s">
        <v>33</v>
      </c>
      <c r="T218" s="11" t="str">
        <f t="shared" si="6"/>
        <v>-23.2074649</v>
      </c>
      <c r="U218" s="11" t="str">
        <f t="shared" si="7"/>
        <v>-46.8142667</v>
      </c>
    </row>
    <row r="219" spans="1:21">
      <c r="A219" s="11" t="s">
        <v>1438</v>
      </c>
      <c r="B219" s="11" t="s">
        <v>1439</v>
      </c>
      <c r="C219" s="11">
        <v>40275344000128</v>
      </c>
      <c r="E219" s="12" t="s">
        <v>23</v>
      </c>
      <c r="F219" s="12" t="s">
        <v>1440</v>
      </c>
      <c r="G219" s="11" t="s">
        <v>1441</v>
      </c>
      <c r="H219" s="11">
        <v>128</v>
      </c>
      <c r="I219" s="11" t="s">
        <v>66</v>
      </c>
      <c r="J219" s="11">
        <v>65800000</v>
      </c>
      <c r="K219" s="11" t="s">
        <v>39</v>
      </c>
      <c r="L219" s="11" t="s">
        <v>1441</v>
      </c>
      <c r="M219" s="11" t="s">
        <v>281</v>
      </c>
      <c r="P219" s="11" t="s">
        <v>1442</v>
      </c>
      <c r="Q219" s="13" t="s">
        <v>1443</v>
      </c>
      <c r="R219" s="11" t="s">
        <v>1444</v>
      </c>
      <c r="S219" s="12" t="s">
        <v>33</v>
      </c>
      <c r="T219" s="11" t="str">
        <f t="shared" si="6"/>
        <v>-7.5321400</v>
      </c>
      <c r="U219" s="11" t="str">
        <f t="shared" si="7"/>
        <v>-46.0371630</v>
      </c>
    </row>
    <row r="220" spans="1:21">
      <c r="A220" s="11" t="s">
        <v>1445</v>
      </c>
      <c r="B220" s="11" t="s">
        <v>1446</v>
      </c>
      <c r="C220" s="11">
        <v>43888851000125</v>
      </c>
      <c r="E220" s="12" t="s">
        <v>23</v>
      </c>
      <c r="F220" s="12" t="s">
        <v>302</v>
      </c>
      <c r="G220" s="11" t="s">
        <v>1447</v>
      </c>
      <c r="H220" s="11">
        <v>100</v>
      </c>
      <c r="I220" s="11" t="s">
        <v>26</v>
      </c>
      <c r="J220" s="11">
        <v>24466970</v>
      </c>
      <c r="K220" s="11" t="s">
        <v>1448</v>
      </c>
      <c r="L220" s="11" t="s">
        <v>1449</v>
      </c>
      <c r="M220" s="11" t="s">
        <v>68</v>
      </c>
      <c r="P220" s="11" t="s">
        <v>1450</v>
      </c>
      <c r="Q220" s="13" t="s">
        <v>1451</v>
      </c>
      <c r="R220" s="11" t="s">
        <v>1452</v>
      </c>
      <c r="S220" s="12" t="s">
        <v>33</v>
      </c>
      <c r="T220" s="11" t="str">
        <f t="shared" si="6"/>
        <v>-22.8151144</v>
      </c>
      <c r="U220" s="11" t="str">
        <f t="shared" si="7"/>
        <v>-43.0703818</v>
      </c>
    </row>
    <row r="221" spans="1:21">
      <c r="A221" s="11" t="s">
        <v>1453</v>
      </c>
      <c r="B221" s="11" t="s">
        <v>952</v>
      </c>
      <c r="C221" s="11">
        <v>47945083000155</v>
      </c>
      <c r="E221" s="12" t="s">
        <v>23</v>
      </c>
      <c r="F221" s="12" t="s">
        <v>953</v>
      </c>
      <c r="G221" s="11" t="s">
        <v>1454</v>
      </c>
      <c r="H221" s="11">
        <v>300</v>
      </c>
      <c r="I221" s="11" t="s">
        <v>1455</v>
      </c>
      <c r="J221" s="11">
        <v>64000010</v>
      </c>
      <c r="K221" s="11" t="s">
        <v>39</v>
      </c>
      <c r="L221" s="11" t="s">
        <v>390</v>
      </c>
      <c r="M221" s="11" t="s">
        <v>391</v>
      </c>
      <c r="P221" s="11" t="s">
        <v>1456</v>
      </c>
      <c r="Q221" s="13" t="s">
        <v>1457</v>
      </c>
      <c r="R221" s="11" t="s">
        <v>1458</v>
      </c>
      <c r="S221" s="12" t="s">
        <v>33</v>
      </c>
      <c r="T221" s="11" t="str">
        <f t="shared" si="6"/>
        <v>-5.0930352</v>
      </c>
      <c r="U221" s="11" t="str">
        <f t="shared" si="7"/>
        <v>-42.8185266</v>
      </c>
    </row>
    <row r="222" spans="1:21">
      <c r="A222" s="11" t="s">
        <v>1459</v>
      </c>
      <c r="B222" s="11" t="s">
        <v>1460</v>
      </c>
      <c r="C222" s="11">
        <v>49137695000147</v>
      </c>
      <c r="E222" s="12" t="s">
        <v>23</v>
      </c>
      <c r="F222" s="12" t="s">
        <v>1000</v>
      </c>
      <c r="G222" s="11" t="s">
        <v>1461</v>
      </c>
      <c r="H222" s="11">
        <v>3167</v>
      </c>
      <c r="I222" s="11" t="s">
        <v>26</v>
      </c>
      <c r="J222" s="11">
        <v>64090550</v>
      </c>
      <c r="K222" s="11" t="s">
        <v>1462</v>
      </c>
      <c r="L222" s="11" t="s">
        <v>390</v>
      </c>
      <c r="M222" s="11" t="s">
        <v>391</v>
      </c>
      <c r="P222" s="11" t="s">
        <v>1463</v>
      </c>
      <c r="Q222" s="13">
        <v>-5.0891700000000002</v>
      </c>
      <c r="R222" s="11">
        <v>-42.801940000000002</v>
      </c>
      <c r="S222" s="12" t="s">
        <v>70</v>
      </c>
      <c r="T222" s="11" t="str">
        <f t="shared" si="6"/>
        <v>-5.08917</v>
      </c>
      <c r="U222" s="11" t="str">
        <f t="shared" si="7"/>
        <v>-42.80194</v>
      </c>
    </row>
    <row r="223" spans="1:21">
      <c r="P223" s="11"/>
    </row>
    <row r="224" spans="1:21">
      <c r="A224" s="11" t="s">
        <v>1464</v>
      </c>
      <c r="B224" s="11" t="s">
        <v>1465</v>
      </c>
      <c r="C224" s="11">
        <v>49826083000161</v>
      </c>
      <c r="E224" s="12" t="s">
        <v>23</v>
      </c>
      <c r="F224" s="12" t="s">
        <v>1466</v>
      </c>
      <c r="G224" s="11" t="s">
        <v>1467</v>
      </c>
      <c r="H224" s="11">
        <v>511</v>
      </c>
      <c r="I224" s="11" t="s">
        <v>1233</v>
      </c>
      <c r="J224" s="11">
        <v>57150000</v>
      </c>
      <c r="K224" s="11" t="s">
        <v>1468</v>
      </c>
      <c r="L224" s="11" t="s">
        <v>1469</v>
      </c>
      <c r="M224" s="11" t="s">
        <v>78</v>
      </c>
      <c r="P224" s="11" t="s">
        <v>1470</v>
      </c>
      <c r="Q224" s="13" t="s">
        <v>1471</v>
      </c>
      <c r="R224" s="11" t="s">
        <v>1472</v>
      </c>
      <c r="S224" s="12" t="s">
        <v>33</v>
      </c>
      <c r="T224" s="11" t="str">
        <f t="shared" si="6"/>
        <v>-9.6016711</v>
      </c>
      <c r="U224" s="11" t="str">
        <f t="shared" si="7"/>
        <v>-35.9511275</v>
      </c>
    </row>
    <row r="225" spans="1:21">
      <c r="A225" s="11" t="s">
        <v>1473</v>
      </c>
      <c r="B225" s="11" t="s">
        <v>1474</v>
      </c>
      <c r="C225" s="11">
        <v>49834460000104</v>
      </c>
      <c r="E225" s="12" t="s">
        <v>23</v>
      </c>
      <c r="F225" s="12" t="s">
        <v>339</v>
      </c>
      <c r="G225" s="11" t="s">
        <v>1475</v>
      </c>
      <c r="H225" s="11">
        <v>1296</v>
      </c>
      <c r="I225" s="11" t="s">
        <v>305</v>
      </c>
      <c r="J225" s="11">
        <v>59078600</v>
      </c>
      <c r="K225" s="11" t="s">
        <v>1476</v>
      </c>
      <c r="L225" s="11" t="s">
        <v>343</v>
      </c>
      <c r="M225" s="11" t="s">
        <v>215</v>
      </c>
      <c r="P225" s="11" t="s">
        <v>1477</v>
      </c>
      <c r="Q225" s="13" t="s">
        <v>1478</v>
      </c>
      <c r="R225" s="11" t="s">
        <v>1479</v>
      </c>
      <c r="S225" s="12" t="s">
        <v>33</v>
      </c>
      <c r="T225" s="11" t="str">
        <f t="shared" si="6"/>
        <v>-5.8603555</v>
      </c>
      <c r="U225" s="11" t="str">
        <f t="shared" si="7"/>
        <v>-35.1930639</v>
      </c>
    </row>
    <row r="226" spans="1:21">
      <c r="A226" s="11" t="s">
        <v>1480</v>
      </c>
      <c r="B226" s="11" t="s">
        <v>1481</v>
      </c>
      <c r="C226" s="11">
        <v>49884858000155</v>
      </c>
      <c r="E226" s="12" t="s">
        <v>23</v>
      </c>
      <c r="F226" s="12" t="s">
        <v>1482</v>
      </c>
      <c r="G226" s="11" t="s">
        <v>1483</v>
      </c>
      <c r="H226" s="11">
        <v>801</v>
      </c>
      <c r="I226" s="11" t="s">
        <v>26</v>
      </c>
      <c r="J226" s="11">
        <v>13845180</v>
      </c>
      <c r="K226" s="11" t="s">
        <v>1484</v>
      </c>
      <c r="L226" s="11" t="s">
        <v>1485</v>
      </c>
      <c r="M226" s="11" t="s">
        <v>78</v>
      </c>
      <c r="P226" s="11" t="s">
        <v>1486</v>
      </c>
      <c r="Q226" s="13" t="s">
        <v>1487</v>
      </c>
      <c r="R226" s="11" t="s">
        <v>1488</v>
      </c>
      <c r="S226" s="12" t="s">
        <v>33</v>
      </c>
      <c r="T226" s="11" t="str">
        <f t="shared" si="6"/>
        <v>-22.3675469</v>
      </c>
      <c r="U226" s="11" t="str">
        <f t="shared" si="7"/>
        <v>-46.9536635</v>
      </c>
    </row>
    <row r="227" spans="1:21">
      <c r="A227" s="11" t="s">
        <v>1489</v>
      </c>
      <c r="B227" s="11" t="s">
        <v>1368</v>
      </c>
      <c r="C227" s="11">
        <v>34854383002716</v>
      </c>
      <c r="E227" s="12" t="s">
        <v>23</v>
      </c>
      <c r="F227" s="12" t="s">
        <v>694</v>
      </c>
      <c r="G227" s="11" t="s">
        <v>1490</v>
      </c>
      <c r="H227" s="11">
        <v>5555</v>
      </c>
      <c r="I227" s="11" t="s">
        <v>1491</v>
      </c>
      <c r="J227" s="11">
        <v>3527904</v>
      </c>
      <c r="K227" s="11" t="s">
        <v>1492</v>
      </c>
      <c r="L227" s="11" t="s">
        <v>77</v>
      </c>
      <c r="M227" s="11" t="s">
        <v>78</v>
      </c>
      <c r="P227" s="13" t="s">
        <v>1493</v>
      </c>
      <c r="Q227" s="13">
        <v>-2.35658254997893E+16</v>
      </c>
      <c r="R227" s="14">
        <v>-4650416802256440</v>
      </c>
      <c r="S227" s="12" t="s">
        <v>283</v>
      </c>
      <c r="T227" s="11" t="str">
        <f t="shared" si="6"/>
        <v>-23565825499789300</v>
      </c>
      <c r="U227" s="11" t="str">
        <f t="shared" si="7"/>
        <v>-4650416802256440</v>
      </c>
    </row>
    <row r="228" spans="1:21">
      <c r="A228" s="11" t="s">
        <v>1494</v>
      </c>
      <c r="B228" s="11" t="s">
        <v>1368</v>
      </c>
      <c r="C228" s="11">
        <v>34854383001825</v>
      </c>
      <c r="E228" s="12" t="s">
        <v>23</v>
      </c>
      <c r="F228" s="12" t="s">
        <v>712</v>
      </c>
      <c r="G228" s="11" t="s">
        <v>1495</v>
      </c>
      <c r="H228" s="11">
        <v>1496</v>
      </c>
      <c r="I228" s="11" t="s">
        <v>1496</v>
      </c>
      <c r="J228" s="11">
        <v>6020010</v>
      </c>
      <c r="K228" s="11" t="s">
        <v>1027</v>
      </c>
      <c r="L228" s="11" t="s">
        <v>1028</v>
      </c>
      <c r="M228" s="11" t="s">
        <v>78</v>
      </c>
      <c r="P228" s="11" t="s">
        <v>1029</v>
      </c>
      <c r="Q228" s="13">
        <v>-23.532499999999999</v>
      </c>
      <c r="R228" s="11">
        <v>-46.791670000000003</v>
      </c>
      <c r="S228" s="12" t="s">
        <v>70</v>
      </c>
      <c r="T228" s="11" t="str">
        <f t="shared" si="6"/>
        <v>-23.5325</v>
      </c>
      <c r="U228" s="11" t="str">
        <f t="shared" si="7"/>
        <v>-46.79167</v>
      </c>
    </row>
    <row r="229" spans="1:21">
      <c r="A229" s="11" t="s">
        <v>1497</v>
      </c>
      <c r="B229" s="11" t="s">
        <v>1498</v>
      </c>
      <c r="C229" s="11">
        <v>49836391000178</v>
      </c>
      <c r="E229" s="12" t="s">
        <v>23</v>
      </c>
      <c r="F229" s="12" t="s">
        <v>1499</v>
      </c>
      <c r="G229" s="11" t="s">
        <v>1500</v>
      </c>
      <c r="H229" s="11">
        <v>470</v>
      </c>
      <c r="I229" s="11" t="s">
        <v>1501</v>
      </c>
      <c r="J229" s="11">
        <v>58700070</v>
      </c>
      <c r="K229" s="11" t="s">
        <v>39</v>
      </c>
      <c r="L229" s="11" t="s">
        <v>1502</v>
      </c>
      <c r="M229" s="11" t="s">
        <v>187</v>
      </c>
      <c r="P229" s="11" t="s">
        <v>1503</v>
      </c>
      <c r="Q229" s="13">
        <v>-7.0244400000000002</v>
      </c>
      <c r="R229" s="11">
        <v>-37.28</v>
      </c>
      <c r="S229" s="12" t="s">
        <v>70</v>
      </c>
      <c r="T229" s="11" t="str">
        <f t="shared" si="6"/>
        <v>-7.02444</v>
      </c>
      <c r="U229" s="11" t="str">
        <f t="shared" si="7"/>
        <v>-37.28</v>
      </c>
    </row>
    <row r="230" spans="1:21">
      <c r="A230" s="11" t="s">
        <v>1504</v>
      </c>
      <c r="B230" s="11" t="s">
        <v>1505</v>
      </c>
      <c r="C230" s="11">
        <v>41106791000116</v>
      </c>
      <c r="E230" s="12" t="s">
        <v>23</v>
      </c>
      <c r="F230" s="12" t="s">
        <v>1506</v>
      </c>
      <c r="G230" s="11" t="s">
        <v>1507</v>
      </c>
      <c r="H230" s="11">
        <v>3100</v>
      </c>
      <c r="I230" s="11" t="s">
        <v>26</v>
      </c>
      <c r="J230" s="11">
        <v>60355512</v>
      </c>
      <c r="K230" s="11" t="s">
        <v>1508</v>
      </c>
      <c r="L230" s="11" t="s">
        <v>437</v>
      </c>
      <c r="M230" s="11" t="s">
        <v>354</v>
      </c>
      <c r="P230" s="11" t="s">
        <v>1509</v>
      </c>
      <c r="Q230" s="13" t="s">
        <v>1510</v>
      </c>
      <c r="R230" s="11" t="s">
        <v>1511</v>
      </c>
      <c r="S230" s="12" t="s">
        <v>33</v>
      </c>
      <c r="T230" s="11" t="str">
        <f t="shared" si="6"/>
        <v>-3.7277411</v>
      </c>
      <c r="U230" s="11" t="str">
        <f t="shared" si="7"/>
        <v>-38.5680336</v>
      </c>
    </row>
    <row r="231" spans="1:21">
      <c r="A231" s="11" t="s">
        <v>1512</v>
      </c>
      <c r="B231" s="11" t="s">
        <v>1429</v>
      </c>
      <c r="C231" s="11">
        <v>49515903000102</v>
      </c>
      <c r="E231" s="12" t="s">
        <v>23</v>
      </c>
      <c r="F231" s="12" t="s">
        <v>1513</v>
      </c>
      <c r="G231" s="11" t="s">
        <v>1431</v>
      </c>
      <c r="H231" s="11">
        <v>2225</v>
      </c>
      <c r="I231" s="11" t="s">
        <v>1514</v>
      </c>
      <c r="J231" s="11">
        <v>13223025</v>
      </c>
      <c r="K231" s="11" t="s">
        <v>1433</v>
      </c>
      <c r="L231" s="11" t="s">
        <v>1434</v>
      </c>
      <c r="M231" s="11" t="s">
        <v>78</v>
      </c>
      <c r="P231" s="11" t="s">
        <v>1435</v>
      </c>
      <c r="Q231" s="13" t="s">
        <v>1436</v>
      </c>
      <c r="R231" s="11" t="s">
        <v>1437</v>
      </c>
      <c r="S231" s="12" t="s">
        <v>33</v>
      </c>
      <c r="T231" s="11" t="str">
        <f t="shared" si="6"/>
        <v>-23.2074649</v>
      </c>
      <c r="U231" s="11" t="str">
        <f t="shared" si="7"/>
        <v>-46.8142667</v>
      </c>
    </row>
    <row r="232" spans="1:21">
      <c r="A232" s="11" t="s">
        <v>1515</v>
      </c>
      <c r="B232" s="11" t="s">
        <v>1516</v>
      </c>
      <c r="C232" s="11">
        <v>48223659000133</v>
      </c>
      <c r="E232" s="12" t="s">
        <v>23</v>
      </c>
      <c r="F232" s="12" t="s">
        <v>1517</v>
      </c>
      <c r="G232" s="11" t="s">
        <v>1518</v>
      </c>
      <c r="H232" s="11">
        <v>758</v>
      </c>
      <c r="I232" s="11" t="s">
        <v>66</v>
      </c>
      <c r="J232" s="11">
        <v>85010090</v>
      </c>
      <c r="K232" s="11" t="s">
        <v>39</v>
      </c>
      <c r="L232" s="11" t="s">
        <v>1519</v>
      </c>
      <c r="M232" s="11" t="s">
        <v>679</v>
      </c>
      <c r="P232" s="11" t="s">
        <v>1520</v>
      </c>
      <c r="Q232" s="13" t="s">
        <v>1521</v>
      </c>
      <c r="R232" s="11" t="s">
        <v>1522</v>
      </c>
      <c r="S232" s="12" t="s">
        <v>33</v>
      </c>
      <c r="T232" s="11" t="str">
        <f t="shared" si="6"/>
        <v>-25.3847810</v>
      </c>
      <c r="U232" s="11" t="str">
        <f t="shared" si="7"/>
        <v>-51.4712593</v>
      </c>
    </row>
    <row r="233" spans="1:21">
      <c r="P233" s="11"/>
    </row>
    <row r="234" spans="1:21">
      <c r="A234" s="11" t="s">
        <v>1523</v>
      </c>
      <c r="B234" s="11" t="s">
        <v>1524</v>
      </c>
      <c r="C234" s="11">
        <v>50251682000183</v>
      </c>
      <c r="E234" s="12" t="s">
        <v>23</v>
      </c>
      <c r="F234" s="12" t="s">
        <v>36</v>
      </c>
      <c r="G234" s="11" t="s">
        <v>1525</v>
      </c>
      <c r="H234" s="11" t="s">
        <v>291</v>
      </c>
      <c r="I234" s="11" t="s">
        <v>26</v>
      </c>
      <c r="J234" s="11">
        <v>56280000</v>
      </c>
      <c r="K234" s="11" t="s">
        <v>39</v>
      </c>
      <c r="L234" s="11" t="s">
        <v>1525</v>
      </c>
      <c r="M234" s="11" t="s">
        <v>29</v>
      </c>
      <c r="P234" s="11" t="s">
        <v>1526</v>
      </c>
      <c r="Q234" s="13" t="s">
        <v>1527</v>
      </c>
      <c r="R234" s="11" t="s">
        <v>1528</v>
      </c>
      <c r="S234" s="12" t="s">
        <v>33</v>
      </c>
      <c r="T234" s="11" t="str">
        <f t="shared" si="6"/>
        <v>-7.5100536</v>
      </c>
      <c r="U234" s="11" t="str">
        <f t="shared" si="7"/>
        <v>-40.5533131</v>
      </c>
    </row>
    <row r="235" spans="1:21">
      <c r="A235" s="11" t="s">
        <v>1529</v>
      </c>
      <c r="B235" s="11" t="s">
        <v>1530</v>
      </c>
      <c r="C235" s="11">
        <v>50365091000137</v>
      </c>
      <c r="E235" s="12" t="s">
        <v>23</v>
      </c>
      <c r="F235" s="12" t="s">
        <v>1212</v>
      </c>
      <c r="G235" s="11" t="s">
        <v>1531</v>
      </c>
      <c r="H235" s="11">
        <v>153</v>
      </c>
      <c r="I235" s="11" t="s">
        <v>26</v>
      </c>
      <c r="J235" s="11">
        <v>25620150</v>
      </c>
      <c r="K235" s="11" t="s">
        <v>39</v>
      </c>
      <c r="L235" s="11" t="s">
        <v>1532</v>
      </c>
      <c r="M235" s="11" t="s">
        <v>68</v>
      </c>
      <c r="P235" s="11" t="s">
        <v>1533</v>
      </c>
      <c r="Q235" s="13" t="s">
        <v>1534</v>
      </c>
      <c r="R235" s="11" t="s">
        <v>1535</v>
      </c>
      <c r="S235" s="12" t="s">
        <v>33</v>
      </c>
      <c r="T235" s="11" t="str">
        <f t="shared" si="6"/>
        <v>-22.5120829</v>
      </c>
      <c r="U235" s="11" t="str">
        <f t="shared" si="7"/>
        <v>-43.1776916</v>
      </c>
    </row>
    <row r="236" spans="1:21">
      <c r="A236" s="11" t="s">
        <v>1536</v>
      </c>
      <c r="B236" s="11" t="s">
        <v>176</v>
      </c>
      <c r="C236" s="11">
        <v>33061712000170</v>
      </c>
      <c r="E236" s="12" t="s">
        <v>23</v>
      </c>
      <c r="F236" s="12" t="s">
        <v>1537</v>
      </c>
      <c r="G236" s="11" t="s">
        <v>178</v>
      </c>
      <c r="H236" s="11">
        <v>242</v>
      </c>
      <c r="I236" s="11" t="s">
        <v>26</v>
      </c>
      <c r="J236" s="11">
        <v>53401445</v>
      </c>
      <c r="K236" s="11" t="s">
        <v>39</v>
      </c>
      <c r="L236" s="11" t="s">
        <v>179</v>
      </c>
      <c r="M236" s="11" t="s">
        <v>29</v>
      </c>
      <c r="P236" s="11" t="s">
        <v>180</v>
      </c>
      <c r="Q236" s="13">
        <v>-7.9408300000000001</v>
      </c>
      <c r="R236" s="11">
        <v>-34.873060000000002</v>
      </c>
      <c r="S236" s="12" t="s">
        <v>70</v>
      </c>
      <c r="T236" s="11" t="str">
        <f t="shared" si="6"/>
        <v>-7.94083</v>
      </c>
      <c r="U236" s="11" t="str">
        <f t="shared" si="7"/>
        <v>-34.87306</v>
      </c>
    </row>
    <row r="237" spans="1:21">
      <c r="A237" s="11" t="s">
        <v>1538</v>
      </c>
      <c r="B237" s="11" t="s">
        <v>1539</v>
      </c>
      <c r="C237" s="11">
        <v>48990207000187</v>
      </c>
      <c r="E237" s="12" t="s">
        <v>23</v>
      </c>
      <c r="F237" s="12" t="s">
        <v>1540</v>
      </c>
      <c r="G237" s="11" t="s">
        <v>1541</v>
      </c>
      <c r="H237" s="11">
        <v>34</v>
      </c>
      <c r="I237" s="11" t="s">
        <v>1542</v>
      </c>
      <c r="J237" s="11">
        <v>65912708</v>
      </c>
      <c r="K237" s="11" t="s">
        <v>1543</v>
      </c>
      <c r="L237" s="11" t="s">
        <v>368</v>
      </c>
      <c r="M237" s="11" t="s">
        <v>281</v>
      </c>
      <c r="P237" s="11" t="s">
        <v>1544</v>
      </c>
      <c r="Q237" s="13">
        <v>-5.5263900000000001</v>
      </c>
      <c r="R237" s="11">
        <v>-47.491669999999999</v>
      </c>
      <c r="S237" s="12" t="s">
        <v>70</v>
      </c>
      <c r="T237" s="11" t="str">
        <f t="shared" si="6"/>
        <v>-5.52639</v>
      </c>
      <c r="U237" s="11" t="str">
        <f t="shared" si="7"/>
        <v>-47.49167</v>
      </c>
    </row>
    <row r="238" spans="1:21">
      <c r="A238" s="11" t="s">
        <v>1545</v>
      </c>
      <c r="B238" s="11" t="s">
        <v>1539</v>
      </c>
      <c r="C238" s="11">
        <v>48990207000187</v>
      </c>
      <c r="E238" s="12" t="s">
        <v>23</v>
      </c>
      <c r="F238" s="12" t="s">
        <v>1540</v>
      </c>
      <c r="G238" s="11" t="s">
        <v>1541</v>
      </c>
      <c r="H238" s="11">
        <v>34</v>
      </c>
      <c r="I238" s="11" t="s">
        <v>26</v>
      </c>
      <c r="J238" s="11">
        <v>65912708</v>
      </c>
      <c r="K238" s="11" t="s">
        <v>1543</v>
      </c>
      <c r="L238" s="11" t="s">
        <v>368</v>
      </c>
      <c r="M238" s="11" t="s">
        <v>281</v>
      </c>
      <c r="P238" s="11" t="s">
        <v>1544</v>
      </c>
      <c r="Q238" s="13">
        <v>-5.5263900000000001</v>
      </c>
      <c r="R238" s="11">
        <v>-47.491669999999999</v>
      </c>
      <c r="S238" s="12" t="s">
        <v>70</v>
      </c>
      <c r="T238" s="11" t="str">
        <f t="shared" si="6"/>
        <v>-5.52639</v>
      </c>
      <c r="U238" s="11" t="str">
        <f t="shared" si="7"/>
        <v>-47.49167</v>
      </c>
    </row>
    <row r="239" spans="1:21">
      <c r="A239" s="11" t="s">
        <v>1546</v>
      </c>
      <c r="B239" s="11" t="s">
        <v>1547</v>
      </c>
      <c r="C239" s="11">
        <v>49003904000160</v>
      </c>
      <c r="E239" s="12" t="s">
        <v>23</v>
      </c>
      <c r="F239" s="12" t="s">
        <v>1548</v>
      </c>
      <c r="G239" s="11" t="s">
        <v>1549</v>
      </c>
      <c r="H239" s="11">
        <v>1</v>
      </c>
      <c r="I239" s="11" t="s">
        <v>1550</v>
      </c>
      <c r="J239" s="11">
        <v>48970000</v>
      </c>
      <c r="K239" s="11" t="s">
        <v>39</v>
      </c>
      <c r="L239" s="11" t="s">
        <v>1551</v>
      </c>
      <c r="M239" s="11" t="s">
        <v>86</v>
      </c>
      <c r="P239" s="11" t="s">
        <v>1552</v>
      </c>
      <c r="Q239" s="13" t="s">
        <v>1553</v>
      </c>
      <c r="R239" s="11" t="s">
        <v>1554</v>
      </c>
      <c r="S239" s="12" t="s">
        <v>33</v>
      </c>
      <c r="T239" s="11" t="str">
        <f t="shared" si="6"/>
        <v>-10.4602509</v>
      </c>
      <c r="U239" s="11" t="str">
        <f t="shared" si="7"/>
        <v>-40.1891510</v>
      </c>
    </row>
    <row r="240" spans="1:21">
      <c r="A240" s="11" t="s">
        <v>1555</v>
      </c>
      <c r="B240" s="11" t="s">
        <v>1556</v>
      </c>
      <c r="C240" s="11">
        <v>44028430000278</v>
      </c>
      <c r="E240" s="12" t="s">
        <v>23</v>
      </c>
      <c r="F240" s="12" t="s">
        <v>1557</v>
      </c>
      <c r="G240" s="11" t="s">
        <v>1558</v>
      </c>
      <c r="H240" s="11" t="s">
        <v>129</v>
      </c>
      <c r="I240" s="11" t="s">
        <v>26</v>
      </c>
      <c r="J240" s="11">
        <v>78125044</v>
      </c>
      <c r="K240" s="11" t="s">
        <v>1559</v>
      </c>
      <c r="L240" s="11" t="s">
        <v>1560</v>
      </c>
      <c r="M240" s="11" t="s">
        <v>1561</v>
      </c>
      <c r="P240" s="11" t="s">
        <v>1562</v>
      </c>
      <c r="Q240" s="13" t="s">
        <v>1563</v>
      </c>
      <c r="R240" s="11" t="s">
        <v>1564</v>
      </c>
      <c r="S240" s="12" t="s">
        <v>33</v>
      </c>
      <c r="T240" s="11" t="str">
        <f t="shared" si="6"/>
        <v>-15.6513121</v>
      </c>
      <c r="U240" s="11" t="str">
        <f t="shared" si="7"/>
        <v>-56.1243536</v>
      </c>
    </row>
    <row r="241" spans="1:21">
      <c r="A241" s="11" t="s">
        <v>1565</v>
      </c>
      <c r="B241" s="11" t="s">
        <v>684</v>
      </c>
      <c r="C241" s="11">
        <v>42423116000183</v>
      </c>
      <c r="E241" s="12" t="s">
        <v>23</v>
      </c>
      <c r="F241" s="12" t="s">
        <v>685</v>
      </c>
      <c r="G241" s="11" t="s">
        <v>1566</v>
      </c>
      <c r="H241" s="11">
        <v>204</v>
      </c>
      <c r="I241" s="11" t="s">
        <v>1567</v>
      </c>
      <c r="J241" s="11">
        <v>6814010</v>
      </c>
      <c r="K241" s="11" t="s">
        <v>1568</v>
      </c>
      <c r="L241" s="11" t="s">
        <v>1569</v>
      </c>
      <c r="M241" s="11" t="s">
        <v>78</v>
      </c>
      <c r="P241" s="11" t="s">
        <v>1570</v>
      </c>
      <c r="Q241" s="13">
        <v>-23.648890000000002</v>
      </c>
      <c r="R241" s="11">
        <v>-46.852220000000003</v>
      </c>
      <c r="S241" s="12" t="s">
        <v>70</v>
      </c>
      <c r="T241" s="11" t="str">
        <f t="shared" si="6"/>
        <v>-23.64889</v>
      </c>
      <c r="U241" s="11" t="str">
        <f t="shared" si="7"/>
        <v>-46.85222</v>
      </c>
    </row>
    <row r="242" spans="1:21">
      <c r="A242" s="11" t="s">
        <v>1571</v>
      </c>
      <c r="B242" s="11" t="s">
        <v>1572</v>
      </c>
      <c r="C242" s="11">
        <v>41243185000142</v>
      </c>
      <c r="E242" s="12" t="s">
        <v>23</v>
      </c>
      <c r="F242" s="12" t="s">
        <v>1573</v>
      </c>
      <c r="G242" s="11" t="s">
        <v>1574</v>
      </c>
      <c r="H242" s="11">
        <v>647</v>
      </c>
      <c r="I242" s="11" t="s">
        <v>1575</v>
      </c>
      <c r="J242" s="11">
        <v>58075075</v>
      </c>
      <c r="K242" s="11" t="s">
        <v>1576</v>
      </c>
      <c r="L242" s="11" t="s">
        <v>197</v>
      </c>
      <c r="M242" s="11" t="s">
        <v>187</v>
      </c>
      <c r="P242" s="11" t="s">
        <v>1577</v>
      </c>
      <c r="Q242" s="13" t="s">
        <v>1578</v>
      </c>
      <c r="R242" s="11" t="s">
        <v>1579</v>
      </c>
      <c r="S242" s="12" t="s">
        <v>33</v>
      </c>
      <c r="T242" s="11" t="str">
        <f t="shared" si="6"/>
        <v>-7.1737481</v>
      </c>
      <c r="U242" s="11" t="str">
        <f t="shared" si="7"/>
        <v>-34.8660864</v>
      </c>
    </row>
    <row r="243" spans="1:21">
      <c r="A243" s="11" t="s">
        <v>1580</v>
      </c>
      <c r="B243" s="11" t="s">
        <v>1581</v>
      </c>
      <c r="C243" s="11">
        <v>39821143000108</v>
      </c>
      <c r="E243" s="12" t="s">
        <v>23</v>
      </c>
      <c r="F243" s="12" t="s">
        <v>1582</v>
      </c>
      <c r="G243" s="11" t="s">
        <v>1583</v>
      </c>
      <c r="H243" s="11">
        <v>84</v>
      </c>
      <c r="I243" s="11" t="s">
        <v>1584</v>
      </c>
      <c r="J243" s="11">
        <v>12210903</v>
      </c>
      <c r="K243" s="11" t="s">
        <v>39</v>
      </c>
      <c r="L243" s="11" t="s">
        <v>1585</v>
      </c>
      <c r="M243" s="11" t="s">
        <v>78</v>
      </c>
      <c r="P243" s="11" t="s">
        <v>1586</v>
      </c>
      <c r="Q243" s="13" t="s">
        <v>1587</v>
      </c>
      <c r="R243" s="11" t="s">
        <v>1588</v>
      </c>
      <c r="S243" s="12" t="s">
        <v>33</v>
      </c>
      <c r="T243" s="11" t="str">
        <f t="shared" si="6"/>
        <v>-23.1843915</v>
      </c>
      <c r="U243" s="11" t="str">
        <f t="shared" si="7"/>
        <v>-45.8859561</v>
      </c>
    </row>
    <row r="244" spans="1:21">
      <c r="A244" s="11" t="s">
        <v>1589</v>
      </c>
      <c r="B244" s="11" t="s">
        <v>1590</v>
      </c>
      <c r="C244" s="11">
        <v>50605603000195</v>
      </c>
      <c r="E244" s="12" t="s">
        <v>23</v>
      </c>
      <c r="F244" s="12" t="s">
        <v>1591</v>
      </c>
      <c r="G244" s="11" t="s">
        <v>1592</v>
      </c>
      <c r="H244" s="11">
        <v>5</v>
      </c>
      <c r="I244" s="11" t="s">
        <v>26</v>
      </c>
      <c r="J244" s="11">
        <v>13184494</v>
      </c>
      <c r="K244" s="11" t="s">
        <v>1593</v>
      </c>
      <c r="L244" s="11" t="s">
        <v>1594</v>
      </c>
      <c r="M244" s="11" t="s">
        <v>78</v>
      </c>
      <c r="P244" s="11" t="s">
        <v>1595</v>
      </c>
      <c r="Q244" s="13" t="s">
        <v>1596</v>
      </c>
      <c r="R244" s="11" t="s">
        <v>1597</v>
      </c>
      <c r="S244" s="12" t="s">
        <v>33</v>
      </c>
      <c r="T244" s="11" t="str">
        <f t="shared" si="6"/>
        <v>-22.8635008</v>
      </c>
      <c r="U244" s="11" t="str">
        <f t="shared" si="7"/>
        <v>-47.2141367</v>
      </c>
    </row>
    <row r="245" spans="1:21">
      <c r="A245" s="11" t="s">
        <v>1598</v>
      </c>
      <c r="B245" s="11" t="s">
        <v>1599</v>
      </c>
      <c r="C245" s="11">
        <v>50532402000105</v>
      </c>
      <c r="E245" s="12" t="s">
        <v>23</v>
      </c>
      <c r="F245" s="12" t="s">
        <v>1600</v>
      </c>
      <c r="G245" s="11" t="s">
        <v>1601</v>
      </c>
      <c r="H245" s="11">
        <v>462</v>
      </c>
      <c r="I245" s="11" t="s">
        <v>1010</v>
      </c>
      <c r="J245" s="11">
        <v>56903400</v>
      </c>
      <c r="K245" s="11" t="s">
        <v>1602</v>
      </c>
      <c r="L245" s="11" t="s">
        <v>1603</v>
      </c>
      <c r="M245" s="11" t="s">
        <v>29</v>
      </c>
      <c r="P245" s="11" t="s">
        <v>1604</v>
      </c>
      <c r="Q245" s="13" t="s">
        <v>1605</v>
      </c>
      <c r="R245" s="11" t="s">
        <v>1606</v>
      </c>
      <c r="S245" s="12" t="s">
        <v>33</v>
      </c>
      <c r="T245" s="11" t="str">
        <f t="shared" si="6"/>
        <v>-7.9908760</v>
      </c>
      <c r="U245" s="11" t="str">
        <f t="shared" si="7"/>
        <v>-38.2994748</v>
      </c>
    </row>
    <row r="246" spans="1:21">
      <c r="A246" s="11" t="s">
        <v>1607</v>
      </c>
      <c r="B246" s="11" t="s">
        <v>717</v>
      </c>
      <c r="C246" s="11">
        <v>45632465000101</v>
      </c>
      <c r="E246" s="12" t="s">
        <v>23</v>
      </c>
      <c r="F246" s="12" t="s">
        <v>718</v>
      </c>
      <c r="G246" s="11" t="s">
        <v>719</v>
      </c>
      <c r="H246" s="11">
        <v>399</v>
      </c>
      <c r="I246" s="11" t="s">
        <v>1010</v>
      </c>
      <c r="J246" s="11">
        <v>74063920</v>
      </c>
      <c r="K246" s="11" t="s">
        <v>721</v>
      </c>
      <c r="L246" s="11" t="s">
        <v>722</v>
      </c>
      <c r="M246" s="11" t="s">
        <v>723</v>
      </c>
      <c r="P246" s="11" t="s">
        <v>724</v>
      </c>
      <c r="Q246" s="13">
        <v>-16.6599507</v>
      </c>
      <c r="R246" s="11">
        <v>-49.257756899999997</v>
      </c>
      <c r="S246" s="12" t="s">
        <v>70</v>
      </c>
      <c r="T246" s="11" t="str">
        <f t="shared" si="6"/>
        <v>-16.6599507</v>
      </c>
      <c r="U246" s="11" t="str">
        <f t="shared" si="7"/>
        <v>-49.2577569</v>
      </c>
    </row>
    <row r="247" spans="1:21">
      <c r="A247" s="11" t="s">
        <v>1608</v>
      </c>
      <c r="B247" s="11" t="s">
        <v>1368</v>
      </c>
      <c r="C247" s="11">
        <v>34854383002805</v>
      </c>
      <c r="E247" s="12" t="s">
        <v>23</v>
      </c>
      <c r="F247" s="12" t="s">
        <v>1609</v>
      </c>
      <c r="G247" s="11" t="s">
        <v>1610</v>
      </c>
      <c r="H247" s="11">
        <v>2270</v>
      </c>
      <c r="I247" s="11" t="s">
        <v>26</v>
      </c>
      <c r="J247" s="11">
        <v>14804300</v>
      </c>
      <c r="K247" s="11" t="s">
        <v>1611</v>
      </c>
      <c r="L247" s="11" t="s">
        <v>1612</v>
      </c>
      <c r="M247" s="11" t="s">
        <v>78</v>
      </c>
      <c r="P247" s="11" t="s">
        <v>1613</v>
      </c>
      <c r="Q247" s="13" t="s">
        <v>1614</v>
      </c>
      <c r="R247" s="11" t="s">
        <v>1615</v>
      </c>
      <c r="S247" s="12" t="s">
        <v>33</v>
      </c>
      <c r="T247" s="11" t="str">
        <f t="shared" si="6"/>
        <v>-21.7839737</v>
      </c>
      <c r="U247" s="11" t="str">
        <f t="shared" si="7"/>
        <v>-48.1988969</v>
      </c>
    </row>
    <row r="248" spans="1:21">
      <c r="A248" s="11" t="s">
        <v>1616</v>
      </c>
      <c r="B248" s="11" t="s">
        <v>202</v>
      </c>
      <c r="C248" s="11">
        <v>34698995000128</v>
      </c>
      <c r="E248" s="12" t="s">
        <v>23</v>
      </c>
      <c r="F248" s="12" t="s">
        <v>203</v>
      </c>
      <c r="G248" s="11" t="s">
        <v>1617</v>
      </c>
      <c r="H248" s="11">
        <v>1000</v>
      </c>
      <c r="I248" s="11" t="s">
        <v>1618</v>
      </c>
      <c r="J248" s="11">
        <v>48604220</v>
      </c>
      <c r="K248" s="11" t="s">
        <v>206</v>
      </c>
      <c r="L248" s="11" t="s">
        <v>207</v>
      </c>
      <c r="M248" s="11" t="s">
        <v>86</v>
      </c>
      <c r="P248" s="11" t="s">
        <v>1619</v>
      </c>
      <c r="Q248" s="13">
        <v>-9.4008800000000008</v>
      </c>
      <c r="R248" s="11">
        <v>-38.250570000000003</v>
      </c>
      <c r="S248" s="12" t="s">
        <v>70</v>
      </c>
      <c r="T248" s="11" t="str">
        <f t="shared" si="6"/>
        <v>-9.40088</v>
      </c>
      <c r="U248" s="11" t="str">
        <f t="shared" si="7"/>
        <v>-38.25057</v>
      </c>
    </row>
    <row r="249" spans="1:21">
      <c r="A249" s="11" t="s">
        <v>1620</v>
      </c>
      <c r="B249" s="11" t="s">
        <v>461</v>
      </c>
      <c r="C249" s="11">
        <v>42991518000184</v>
      </c>
      <c r="E249" s="12" t="s">
        <v>23</v>
      </c>
      <c r="F249" s="12" t="s">
        <v>302</v>
      </c>
      <c r="G249" s="11" t="s">
        <v>435</v>
      </c>
      <c r="H249" s="11">
        <v>85</v>
      </c>
      <c r="I249" s="11" t="s">
        <v>1621</v>
      </c>
      <c r="J249" s="11">
        <v>60811341</v>
      </c>
      <c r="K249" s="11" t="s">
        <v>436</v>
      </c>
      <c r="L249" s="11" t="s">
        <v>437</v>
      </c>
      <c r="M249" s="11" t="s">
        <v>354</v>
      </c>
      <c r="P249" s="11" t="s">
        <v>438</v>
      </c>
      <c r="Q249" s="13">
        <v>-3.7578681</v>
      </c>
      <c r="R249" s="11">
        <v>-38.487802799999997</v>
      </c>
      <c r="S249" s="12" t="s">
        <v>70</v>
      </c>
      <c r="T249" s="11" t="str">
        <f t="shared" si="6"/>
        <v>-3.7578681</v>
      </c>
      <c r="U249" s="11" t="str">
        <f t="shared" si="7"/>
        <v>-38.4878028</v>
      </c>
    </row>
    <row r="250" spans="1:21">
      <c r="A250" s="11" t="s">
        <v>1622</v>
      </c>
      <c r="B250" s="11" t="s">
        <v>1623</v>
      </c>
      <c r="C250" s="11">
        <v>29180665000106</v>
      </c>
      <c r="E250" s="12" t="s">
        <v>23</v>
      </c>
      <c r="F250" s="12" t="s">
        <v>143</v>
      </c>
      <c r="G250" s="11" t="s">
        <v>1624</v>
      </c>
      <c r="H250" s="11">
        <v>493</v>
      </c>
      <c r="I250" s="11" t="s">
        <v>497</v>
      </c>
      <c r="J250" s="11">
        <v>57311500</v>
      </c>
      <c r="K250" s="11" t="s">
        <v>1625</v>
      </c>
      <c r="L250" s="11" t="s">
        <v>1626</v>
      </c>
      <c r="M250" s="11" t="s">
        <v>147</v>
      </c>
      <c r="P250" s="11" t="s">
        <v>1627</v>
      </c>
      <c r="Q250" s="13">
        <v>-9.7358290000000007</v>
      </c>
      <c r="R250" s="11">
        <v>-36.655791000000001</v>
      </c>
      <c r="S250" s="12" t="s">
        <v>70</v>
      </c>
      <c r="T250" s="11" t="str">
        <f t="shared" si="6"/>
        <v>-9.735829</v>
      </c>
      <c r="U250" s="11" t="str">
        <f t="shared" si="7"/>
        <v>-36.655791</v>
      </c>
    </row>
    <row r="251" spans="1:21">
      <c r="A251" s="11" t="s">
        <v>1628</v>
      </c>
      <c r="B251" s="11" t="s">
        <v>1368</v>
      </c>
      <c r="C251" s="11">
        <v>34854383000187</v>
      </c>
      <c r="E251" s="12" t="s">
        <v>23</v>
      </c>
      <c r="F251" s="12" t="s">
        <v>1629</v>
      </c>
      <c r="G251" s="11" t="s">
        <v>1630</v>
      </c>
      <c r="H251" s="11">
        <v>1666</v>
      </c>
      <c r="I251" s="11" t="s">
        <v>1631</v>
      </c>
      <c r="J251" s="11">
        <v>4607003</v>
      </c>
      <c r="K251" s="11" t="s">
        <v>1632</v>
      </c>
      <c r="L251" s="11" t="s">
        <v>77</v>
      </c>
      <c r="M251" s="11" t="s">
        <v>78</v>
      </c>
      <c r="P251" s="13" t="s">
        <v>1633</v>
      </c>
      <c r="Q251" s="13">
        <v>-236179366852721</v>
      </c>
      <c r="R251" s="14">
        <v>-4667119626120220</v>
      </c>
      <c r="S251" s="12" t="s">
        <v>283</v>
      </c>
      <c r="T251" s="11" t="str">
        <f t="shared" si="6"/>
        <v>-236179366852721</v>
      </c>
      <c r="U251" s="11" t="str">
        <f t="shared" si="7"/>
        <v>-4667119626120220</v>
      </c>
    </row>
    <row r="252" spans="1:21">
      <c r="A252" s="11" t="s">
        <v>1634</v>
      </c>
      <c r="B252" s="11" t="s">
        <v>1368</v>
      </c>
      <c r="C252" s="11">
        <v>34854383001744</v>
      </c>
      <c r="E252" s="12" t="s">
        <v>23</v>
      </c>
      <c r="F252" s="12" t="s">
        <v>1635</v>
      </c>
      <c r="G252" s="11" t="s">
        <v>1636</v>
      </c>
      <c r="H252" s="11" t="s">
        <v>291</v>
      </c>
      <c r="I252" s="11" t="s">
        <v>26</v>
      </c>
      <c r="J252" s="11">
        <v>7042040</v>
      </c>
      <c r="K252" s="11" t="s">
        <v>1637</v>
      </c>
      <c r="L252" s="11" t="s">
        <v>249</v>
      </c>
      <c r="M252" s="11" t="s">
        <v>78</v>
      </c>
      <c r="P252" s="11" t="s">
        <v>1638</v>
      </c>
      <c r="Q252" s="13">
        <v>-23.462779999999999</v>
      </c>
      <c r="R252" s="11">
        <v>-46.533329999999999</v>
      </c>
      <c r="S252" s="12" t="s">
        <v>70</v>
      </c>
      <c r="T252" s="11" t="str">
        <f t="shared" si="6"/>
        <v>-23.46278</v>
      </c>
      <c r="U252" s="11" t="str">
        <f t="shared" si="7"/>
        <v>-46.53333</v>
      </c>
    </row>
    <row r="253" spans="1:21">
      <c r="A253" s="11" t="s">
        <v>1639</v>
      </c>
      <c r="B253" s="11" t="s">
        <v>1368</v>
      </c>
      <c r="C253" s="11">
        <v>34854383000349</v>
      </c>
      <c r="E253" s="12" t="s">
        <v>23</v>
      </c>
      <c r="F253" s="12" t="s">
        <v>1640</v>
      </c>
      <c r="G253" s="11" t="s">
        <v>818</v>
      </c>
      <c r="H253" s="11" t="s">
        <v>129</v>
      </c>
      <c r="I253" s="11" t="s">
        <v>1641</v>
      </c>
      <c r="J253" s="11">
        <v>8420092</v>
      </c>
      <c r="K253" s="11" t="s">
        <v>820</v>
      </c>
      <c r="L253" s="11" t="s">
        <v>411</v>
      </c>
      <c r="M253" s="11" t="s">
        <v>78</v>
      </c>
      <c r="P253" s="11" t="s">
        <v>698</v>
      </c>
      <c r="Q253" s="13">
        <v>-22.733059999999998</v>
      </c>
      <c r="R253" s="11">
        <v>-47.306109999999997</v>
      </c>
      <c r="S253" s="12" t="s">
        <v>70</v>
      </c>
      <c r="T253" s="11" t="str">
        <f t="shared" si="6"/>
        <v>-22.73306</v>
      </c>
      <c r="U253" s="11" t="str">
        <f t="shared" si="7"/>
        <v>-47.30611</v>
      </c>
    </row>
    <row r="254" spans="1:21">
      <c r="A254" s="11" t="s">
        <v>1642</v>
      </c>
      <c r="B254" s="11" t="s">
        <v>1368</v>
      </c>
      <c r="C254" s="11">
        <v>34854383002716</v>
      </c>
      <c r="E254" s="12" t="s">
        <v>23</v>
      </c>
      <c r="F254" s="12" t="s">
        <v>1643</v>
      </c>
      <c r="G254" s="11" t="s">
        <v>1490</v>
      </c>
      <c r="H254" s="11">
        <v>5555</v>
      </c>
      <c r="I254" s="11" t="s">
        <v>696</v>
      </c>
      <c r="J254" s="11">
        <v>3527904</v>
      </c>
      <c r="K254" s="11" t="s">
        <v>1492</v>
      </c>
      <c r="L254" s="11" t="s">
        <v>77</v>
      </c>
      <c r="M254" s="11" t="s">
        <v>78</v>
      </c>
      <c r="P254" s="13" t="s">
        <v>1493</v>
      </c>
      <c r="Q254" s="13">
        <v>-2356602652726030</v>
      </c>
      <c r="R254" s="14">
        <v>-465040489933547</v>
      </c>
      <c r="S254" s="12" t="s">
        <v>283</v>
      </c>
      <c r="T254" s="11" t="str">
        <f t="shared" si="6"/>
        <v>-2356602652726030</v>
      </c>
      <c r="U254" s="11" t="str">
        <f t="shared" si="7"/>
        <v>-465040489933547</v>
      </c>
    </row>
    <row r="255" spans="1:21">
      <c r="A255" s="11" t="s">
        <v>1644</v>
      </c>
      <c r="B255" s="11" t="s">
        <v>348</v>
      </c>
      <c r="C255" s="11">
        <v>29207315000196</v>
      </c>
      <c r="E255" s="12" t="s">
        <v>23</v>
      </c>
      <c r="F255" s="12" t="s">
        <v>349</v>
      </c>
      <c r="G255" s="11" t="s">
        <v>1645</v>
      </c>
      <c r="H255" s="11">
        <v>387</v>
      </c>
      <c r="I255" s="11" t="s">
        <v>26</v>
      </c>
      <c r="J255" s="11">
        <v>63010222</v>
      </c>
      <c r="K255" s="11" t="s">
        <v>39</v>
      </c>
      <c r="L255" s="11" t="s">
        <v>353</v>
      </c>
      <c r="M255" s="11" t="s">
        <v>354</v>
      </c>
      <c r="P255" s="11" t="s">
        <v>1646</v>
      </c>
      <c r="Q255" s="13" t="s">
        <v>1647</v>
      </c>
      <c r="R255" s="11" t="s">
        <v>1648</v>
      </c>
      <c r="S255" s="12" t="s">
        <v>33</v>
      </c>
      <c r="T255" s="11" t="str">
        <f t="shared" si="6"/>
        <v>-7.2044509</v>
      </c>
      <c r="U255" s="11" t="str">
        <f t="shared" si="7"/>
        <v>-39.3143397</v>
      </c>
    </row>
    <row r="256" spans="1:21">
      <c r="A256" s="11" t="s">
        <v>1649</v>
      </c>
      <c r="B256" s="11" t="s">
        <v>1650</v>
      </c>
      <c r="C256" s="11">
        <v>50943069000127</v>
      </c>
      <c r="E256" s="12" t="s">
        <v>23</v>
      </c>
      <c r="F256" s="12" t="s">
        <v>1651</v>
      </c>
      <c r="G256" s="11" t="s">
        <v>1652</v>
      </c>
      <c r="H256" s="11">
        <v>1045</v>
      </c>
      <c r="I256" s="11" t="s">
        <v>978</v>
      </c>
      <c r="J256" s="11">
        <v>11380001</v>
      </c>
      <c r="K256" s="11" t="s">
        <v>1653</v>
      </c>
      <c r="L256" s="11" t="s">
        <v>1654</v>
      </c>
      <c r="M256" s="11" t="s">
        <v>78</v>
      </c>
      <c r="P256" s="11" t="s">
        <v>1655</v>
      </c>
      <c r="Q256" s="13" t="s">
        <v>1656</v>
      </c>
      <c r="R256" s="11" t="s">
        <v>1657</v>
      </c>
      <c r="S256" s="12" t="s">
        <v>33</v>
      </c>
      <c r="T256" s="11" t="str">
        <f t="shared" si="6"/>
        <v>-23.9632270</v>
      </c>
      <c r="U256" s="11" t="str">
        <f t="shared" si="7"/>
        <v>-46.3751089</v>
      </c>
    </row>
    <row r="257" spans="1:21">
      <c r="A257" s="11" t="s">
        <v>1658</v>
      </c>
      <c r="B257" s="11" t="s">
        <v>1659</v>
      </c>
      <c r="C257" s="11">
        <v>50867822000142</v>
      </c>
      <c r="E257" s="12" t="s">
        <v>23</v>
      </c>
      <c r="F257" s="12" t="s">
        <v>1179</v>
      </c>
      <c r="G257" s="11" t="s">
        <v>290</v>
      </c>
      <c r="H257" s="11">
        <v>91</v>
      </c>
      <c r="I257" s="11" t="s">
        <v>1660</v>
      </c>
      <c r="J257" s="11">
        <v>56215000</v>
      </c>
      <c r="K257" s="11" t="s">
        <v>39</v>
      </c>
      <c r="L257" s="11" t="s">
        <v>290</v>
      </c>
      <c r="M257" s="11" t="s">
        <v>29</v>
      </c>
      <c r="P257" s="11" t="s">
        <v>293</v>
      </c>
      <c r="Q257" s="13">
        <v>-7.9574999999999996</v>
      </c>
      <c r="R257" s="11">
        <v>-36.204720000000002</v>
      </c>
      <c r="S257" s="12" t="s">
        <v>70</v>
      </c>
      <c r="T257" s="11" t="str">
        <f t="shared" si="6"/>
        <v>-7.9575</v>
      </c>
      <c r="U257" s="11" t="str">
        <f t="shared" si="7"/>
        <v>-36.20472</v>
      </c>
    </row>
    <row r="258" spans="1:21">
      <c r="P258" s="11"/>
    </row>
    <row r="259" spans="1:21">
      <c r="A259" s="11" t="s">
        <v>1661</v>
      </c>
      <c r="B259" s="11" t="s">
        <v>1662</v>
      </c>
      <c r="C259" s="11">
        <v>47026884000117</v>
      </c>
      <c r="E259" s="12" t="s">
        <v>23</v>
      </c>
      <c r="F259" s="12" t="s">
        <v>1663</v>
      </c>
      <c r="G259" s="11" t="s">
        <v>1664</v>
      </c>
      <c r="H259" s="11">
        <v>180</v>
      </c>
      <c r="I259" s="11" t="s">
        <v>1665</v>
      </c>
      <c r="J259" s="11">
        <v>69314302</v>
      </c>
      <c r="K259" s="11" t="s">
        <v>1666</v>
      </c>
      <c r="L259" s="11" t="s">
        <v>1448</v>
      </c>
      <c r="M259" s="11" t="s">
        <v>1667</v>
      </c>
      <c r="P259" s="11" t="s">
        <v>1668</v>
      </c>
      <c r="Q259" s="13">
        <v>2.8236690000000002</v>
      </c>
      <c r="R259" s="11">
        <v>-60.738651300000001</v>
      </c>
      <c r="S259" s="12" t="s">
        <v>70</v>
      </c>
      <c r="T259" s="11" t="str">
        <f t="shared" ref="T259:T321" si="8">SUBSTITUTE(Q:Q,",",".")</f>
        <v>2.823669</v>
      </c>
      <c r="U259" s="11" t="str">
        <f t="shared" ref="U259:U321" si="9">SUBSTITUTE(R:R,",",".")</f>
        <v>-60.7386513</v>
      </c>
    </row>
    <row r="260" spans="1:21">
      <c r="A260" s="11" t="s">
        <v>1669</v>
      </c>
      <c r="B260" s="11" t="s">
        <v>1670</v>
      </c>
      <c r="C260" s="11">
        <v>51011257000180</v>
      </c>
      <c r="E260" s="12" t="s">
        <v>23</v>
      </c>
      <c r="F260" s="12" t="s">
        <v>1671</v>
      </c>
      <c r="G260" s="11" t="s">
        <v>1672</v>
      </c>
      <c r="H260" s="11">
        <v>87</v>
      </c>
      <c r="I260" s="11" t="s">
        <v>1673</v>
      </c>
      <c r="J260" s="11">
        <v>62700000</v>
      </c>
      <c r="K260" s="11" t="s">
        <v>39</v>
      </c>
      <c r="L260" s="11" t="s">
        <v>1426</v>
      </c>
      <c r="M260" s="11" t="s">
        <v>354</v>
      </c>
      <c r="P260" s="11" t="s">
        <v>1674</v>
      </c>
      <c r="Q260" s="13" t="s">
        <v>1675</v>
      </c>
      <c r="R260" s="11" t="s">
        <v>1676</v>
      </c>
      <c r="S260" s="12" t="s">
        <v>33</v>
      </c>
      <c r="T260" s="11" t="str">
        <f t="shared" si="8"/>
        <v>-4.3547946</v>
      </c>
      <c r="U260" s="11" t="str">
        <f t="shared" si="9"/>
        <v>-39.3108516</v>
      </c>
    </row>
    <row r="261" spans="1:21">
      <c r="A261" s="11" t="s">
        <v>1677</v>
      </c>
      <c r="B261" s="11" t="s">
        <v>385</v>
      </c>
      <c r="C261" s="11">
        <v>39722667000133</v>
      </c>
      <c r="E261" s="12" t="s">
        <v>23</v>
      </c>
      <c r="F261" s="12" t="s">
        <v>302</v>
      </c>
      <c r="G261" s="11" t="s">
        <v>212</v>
      </c>
      <c r="H261" s="11">
        <v>254</v>
      </c>
      <c r="I261" s="11" t="s">
        <v>1678</v>
      </c>
      <c r="J261" s="11">
        <v>59148340</v>
      </c>
      <c r="K261" s="11" t="s">
        <v>213</v>
      </c>
      <c r="L261" s="11" t="s">
        <v>214</v>
      </c>
      <c r="M261" s="11" t="s">
        <v>215</v>
      </c>
      <c r="P261" s="11" t="s">
        <v>216</v>
      </c>
      <c r="Q261" s="13" t="s">
        <v>217</v>
      </c>
      <c r="R261" s="11" t="s">
        <v>218</v>
      </c>
      <c r="S261" s="12" t="s">
        <v>33</v>
      </c>
      <c r="T261" s="11" t="str">
        <f t="shared" si="8"/>
        <v>-5.8927682</v>
      </c>
      <c r="U261" s="11" t="str">
        <f t="shared" si="9"/>
        <v>-35.2339711</v>
      </c>
    </row>
    <row r="262" spans="1:21">
      <c r="A262" s="11" t="s">
        <v>1679</v>
      </c>
      <c r="B262" s="11" t="s">
        <v>1680</v>
      </c>
      <c r="C262" s="11">
        <v>23537542000101</v>
      </c>
      <c r="E262" s="12" t="s">
        <v>23</v>
      </c>
      <c r="F262" s="12" t="s">
        <v>1681</v>
      </c>
      <c r="G262" s="11" t="s">
        <v>1682</v>
      </c>
      <c r="H262" s="11">
        <v>1843</v>
      </c>
      <c r="I262" s="11" t="s">
        <v>1010</v>
      </c>
      <c r="J262" s="11">
        <v>14400660</v>
      </c>
      <c r="K262" s="11" t="s">
        <v>39</v>
      </c>
      <c r="L262" s="11" t="s">
        <v>1141</v>
      </c>
      <c r="M262" s="11" t="s">
        <v>78</v>
      </c>
      <c r="P262" s="11" t="s">
        <v>1683</v>
      </c>
      <c r="Q262" s="13" t="s">
        <v>1684</v>
      </c>
      <c r="R262" s="11" t="s">
        <v>1685</v>
      </c>
      <c r="S262" s="12" t="s">
        <v>33</v>
      </c>
      <c r="T262" s="11" t="str">
        <f t="shared" si="8"/>
        <v>-20.5330552</v>
      </c>
      <c r="U262" s="11" t="str">
        <f t="shared" si="9"/>
        <v>-47.4008270</v>
      </c>
    </row>
    <row r="263" spans="1:21">
      <c r="A263" s="11" t="s">
        <v>1686</v>
      </c>
      <c r="B263" s="11" t="s">
        <v>1687</v>
      </c>
      <c r="C263" s="11">
        <v>46773030000131</v>
      </c>
      <c r="E263" s="12" t="s">
        <v>23</v>
      </c>
      <c r="F263" s="12" t="s">
        <v>517</v>
      </c>
      <c r="G263" s="11" t="s">
        <v>1688</v>
      </c>
      <c r="H263" s="11" t="s">
        <v>129</v>
      </c>
      <c r="I263" s="11" t="s">
        <v>26</v>
      </c>
      <c r="J263" s="11">
        <v>20050020</v>
      </c>
      <c r="K263" s="11" t="s">
        <v>39</v>
      </c>
      <c r="L263" s="11" t="s">
        <v>313</v>
      </c>
      <c r="M263" s="11" t="s">
        <v>68</v>
      </c>
      <c r="P263" s="11" t="s">
        <v>1689</v>
      </c>
      <c r="Q263" s="13">
        <v>-22.907409900000001</v>
      </c>
      <c r="R263" s="11">
        <v>-43.1783395</v>
      </c>
      <c r="S263" s="12" t="s">
        <v>70</v>
      </c>
      <c r="T263" s="11" t="str">
        <f t="shared" si="8"/>
        <v>-22.9074099</v>
      </c>
      <c r="U263" s="11" t="str">
        <f t="shared" si="9"/>
        <v>-43.1783395</v>
      </c>
    </row>
    <row r="264" spans="1:21">
      <c r="A264" s="11" t="s">
        <v>1690</v>
      </c>
      <c r="B264" s="11" t="s">
        <v>1691</v>
      </c>
      <c r="C264" s="11">
        <v>51180037000180</v>
      </c>
      <c r="E264" s="12" t="s">
        <v>23</v>
      </c>
      <c r="F264" s="12" t="s">
        <v>302</v>
      </c>
      <c r="G264" s="11" t="s">
        <v>1692</v>
      </c>
      <c r="H264" s="11">
        <v>1890</v>
      </c>
      <c r="I264" s="11" t="s">
        <v>1693</v>
      </c>
      <c r="J264" s="11">
        <v>61768680</v>
      </c>
      <c r="K264" s="11" t="s">
        <v>1694</v>
      </c>
      <c r="L264" s="11" t="s">
        <v>1695</v>
      </c>
      <c r="M264" s="11" t="s">
        <v>354</v>
      </c>
      <c r="P264" s="11" t="s">
        <v>1696</v>
      </c>
      <c r="Q264" s="13" t="s">
        <v>1697</v>
      </c>
      <c r="R264" s="11" t="s">
        <v>1698</v>
      </c>
      <c r="S264" s="12" t="s">
        <v>33</v>
      </c>
      <c r="T264" s="11" t="str">
        <f t="shared" si="8"/>
        <v>-3.8729723</v>
      </c>
      <c r="U264" s="11" t="str">
        <f t="shared" si="9"/>
        <v>-38.4648737</v>
      </c>
    </row>
    <row r="265" spans="1:21">
      <c r="A265" s="11" t="s">
        <v>1699</v>
      </c>
      <c r="B265" s="11" t="s">
        <v>1700</v>
      </c>
      <c r="C265" s="11">
        <v>51344797000185</v>
      </c>
      <c r="E265" s="12" t="s">
        <v>23</v>
      </c>
      <c r="F265" s="12" t="s">
        <v>1701</v>
      </c>
      <c r="G265" s="11" t="s">
        <v>1702</v>
      </c>
      <c r="H265" s="11" t="s">
        <v>291</v>
      </c>
      <c r="I265" s="11" t="s">
        <v>1703</v>
      </c>
      <c r="J265" s="11">
        <v>84070330</v>
      </c>
      <c r="K265" s="11" t="s">
        <v>1704</v>
      </c>
      <c r="L265" s="11" t="s">
        <v>1705</v>
      </c>
      <c r="M265" s="11" t="s">
        <v>679</v>
      </c>
      <c r="P265" s="11" t="s">
        <v>1706</v>
      </c>
      <c r="Q265" s="13" t="s">
        <v>1707</v>
      </c>
      <c r="R265" s="11" t="s">
        <v>1708</v>
      </c>
      <c r="S265" s="12" t="s">
        <v>33</v>
      </c>
      <c r="T265" s="11" t="str">
        <f t="shared" si="8"/>
        <v>-25.0748054</v>
      </c>
      <c r="U265" s="11" t="str">
        <f t="shared" si="9"/>
        <v>-50.1722405</v>
      </c>
    </row>
    <row r="266" spans="1:21">
      <c r="A266" s="11" t="s">
        <v>1709</v>
      </c>
      <c r="B266" s="11" t="s">
        <v>1710</v>
      </c>
      <c r="C266" s="11">
        <v>51326664000186</v>
      </c>
      <c r="E266" s="12" t="s">
        <v>23</v>
      </c>
      <c r="F266" s="12" t="s">
        <v>339</v>
      </c>
      <c r="G266" s="11" t="s">
        <v>1711</v>
      </c>
      <c r="H266" s="11">
        <v>152</v>
      </c>
      <c r="I266" s="11" t="s">
        <v>1712</v>
      </c>
      <c r="J266" s="11">
        <v>59140200</v>
      </c>
      <c r="K266" s="11" t="s">
        <v>39</v>
      </c>
      <c r="L266" s="11" t="s">
        <v>214</v>
      </c>
      <c r="M266" s="11" t="s">
        <v>215</v>
      </c>
      <c r="P266" s="11" t="s">
        <v>1713</v>
      </c>
      <c r="Q266" s="13" t="s">
        <v>1714</v>
      </c>
      <c r="R266" s="11" t="s">
        <v>1715</v>
      </c>
      <c r="S266" s="12" t="s">
        <v>33</v>
      </c>
      <c r="T266" s="11" t="str">
        <f t="shared" si="8"/>
        <v>-5.9237301</v>
      </c>
      <c r="U266" s="11" t="str">
        <f t="shared" si="9"/>
        <v>-35.2634843</v>
      </c>
    </row>
    <row r="267" spans="1:21">
      <c r="A267" s="11" t="s">
        <v>1716</v>
      </c>
      <c r="B267" s="11" t="s">
        <v>318</v>
      </c>
      <c r="C267" s="11">
        <v>34512374000108</v>
      </c>
      <c r="E267" s="12" t="s">
        <v>23</v>
      </c>
      <c r="F267" s="12" t="s">
        <v>319</v>
      </c>
      <c r="G267" s="11" t="s">
        <v>1717</v>
      </c>
      <c r="H267" s="11">
        <v>3340</v>
      </c>
      <c r="I267" s="11" t="s">
        <v>26</v>
      </c>
      <c r="J267" s="11">
        <v>45055900</v>
      </c>
      <c r="K267" s="11" t="s">
        <v>1718</v>
      </c>
      <c r="L267" s="11" t="s">
        <v>323</v>
      </c>
      <c r="M267" s="11" t="s">
        <v>86</v>
      </c>
      <c r="P267" s="11" t="s">
        <v>324</v>
      </c>
      <c r="Q267" s="13" t="s">
        <v>325</v>
      </c>
      <c r="R267" s="11" t="s">
        <v>326</v>
      </c>
      <c r="S267" s="12" t="s">
        <v>33</v>
      </c>
      <c r="T267" s="11" t="str">
        <f t="shared" si="8"/>
        <v>-14.9045084</v>
      </c>
      <c r="U267" s="11" t="str">
        <f t="shared" si="9"/>
        <v>-40.8444382</v>
      </c>
    </row>
    <row r="268" spans="1:21">
      <c r="A268" s="11" t="s">
        <v>1719</v>
      </c>
      <c r="B268" s="11" t="s">
        <v>1720</v>
      </c>
      <c r="C268" s="11">
        <v>51347691000135</v>
      </c>
      <c r="E268" s="12" t="s">
        <v>23</v>
      </c>
      <c r="F268" s="12" t="s">
        <v>1721</v>
      </c>
      <c r="G268" s="11" t="s">
        <v>1722</v>
      </c>
      <c r="H268" s="11">
        <v>40</v>
      </c>
      <c r="I268" s="11" t="s">
        <v>1723</v>
      </c>
      <c r="J268" s="11">
        <v>55750000</v>
      </c>
      <c r="K268" s="11" t="s">
        <v>39</v>
      </c>
      <c r="L268" s="11" t="s">
        <v>1724</v>
      </c>
      <c r="M268" s="11" t="s">
        <v>29</v>
      </c>
      <c r="P268" s="11" t="s">
        <v>1725</v>
      </c>
      <c r="Q268" s="13" t="s">
        <v>1726</v>
      </c>
      <c r="R268" s="11" t="s">
        <v>1727</v>
      </c>
      <c r="S268" s="12" t="s">
        <v>33</v>
      </c>
      <c r="T268" s="11" t="str">
        <f t="shared" si="8"/>
        <v>-7.8424353</v>
      </c>
      <c r="U268" s="11" t="str">
        <f t="shared" si="9"/>
        <v>-35.7539722</v>
      </c>
    </row>
    <row r="269" spans="1:21">
      <c r="A269" s="11" t="s">
        <v>1728</v>
      </c>
      <c r="B269" s="11" t="s">
        <v>1729</v>
      </c>
      <c r="C269" s="11">
        <v>51409689000143</v>
      </c>
      <c r="E269" s="12" t="s">
        <v>23</v>
      </c>
      <c r="F269" s="12" t="s">
        <v>924</v>
      </c>
      <c r="G269" s="11" t="s">
        <v>1730</v>
      </c>
      <c r="H269" s="11">
        <v>1201</v>
      </c>
      <c r="I269" s="11" t="s">
        <v>1731</v>
      </c>
      <c r="J269" s="11">
        <v>64048900</v>
      </c>
      <c r="K269" s="11" t="s">
        <v>1732</v>
      </c>
      <c r="L269" s="11" t="s">
        <v>390</v>
      </c>
      <c r="M269" s="11" t="s">
        <v>391</v>
      </c>
      <c r="P269" s="11" t="s">
        <v>1733</v>
      </c>
      <c r="Q269" s="13" t="s">
        <v>1734</v>
      </c>
      <c r="R269" s="11" t="s">
        <v>1735</v>
      </c>
      <c r="S269" s="12" t="s">
        <v>33</v>
      </c>
      <c r="T269" s="11" t="str">
        <f t="shared" si="8"/>
        <v>-5.0784894</v>
      </c>
      <c r="U269" s="11" t="str">
        <f t="shared" si="9"/>
        <v>-42.7948062</v>
      </c>
    </row>
    <row r="270" spans="1:21">
      <c r="A270" s="11" t="s">
        <v>1736</v>
      </c>
      <c r="B270" s="11" t="s">
        <v>1737</v>
      </c>
      <c r="C270" s="11">
        <v>51445212000113</v>
      </c>
      <c r="E270" s="12" t="s">
        <v>23</v>
      </c>
      <c r="F270" s="12" t="s">
        <v>634</v>
      </c>
      <c r="G270" s="11" t="s">
        <v>1738</v>
      </c>
      <c r="H270" s="11">
        <v>127</v>
      </c>
      <c r="I270" s="11" t="s">
        <v>26</v>
      </c>
      <c r="J270" s="11">
        <v>22713372</v>
      </c>
      <c r="K270" s="11" t="s">
        <v>1739</v>
      </c>
      <c r="L270" s="11" t="s">
        <v>313</v>
      </c>
      <c r="M270" s="11" t="s">
        <v>68</v>
      </c>
      <c r="P270" s="11" t="s">
        <v>1740</v>
      </c>
      <c r="Q270" s="13" t="s">
        <v>1741</v>
      </c>
      <c r="R270" s="11" t="s">
        <v>1742</v>
      </c>
      <c r="S270" s="12" t="s">
        <v>33</v>
      </c>
      <c r="T270" s="11" t="str">
        <f t="shared" si="8"/>
        <v>-22.9233101</v>
      </c>
      <c r="U270" s="11" t="str">
        <f t="shared" si="9"/>
        <v>-43.3825584</v>
      </c>
    </row>
    <row r="271" spans="1:21">
      <c r="A271" s="11" t="s">
        <v>1743</v>
      </c>
      <c r="B271" s="11" t="s">
        <v>1744</v>
      </c>
      <c r="C271" s="11">
        <v>47945083000317</v>
      </c>
      <c r="E271" s="12" t="s">
        <v>23</v>
      </c>
      <c r="F271" s="12" t="s">
        <v>953</v>
      </c>
      <c r="G271" s="11" t="s">
        <v>1745</v>
      </c>
      <c r="H271" s="11">
        <v>1090</v>
      </c>
      <c r="I271" s="11" t="s">
        <v>26</v>
      </c>
      <c r="J271" s="11">
        <v>65600175</v>
      </c>
      <c r="K271" s="11" t="s">
        <v>1746</v>
      </c>
      <c r="L271" s="11" t="s">
        <v>1747</v>
      </c>
      <c r="M271" s="11" t="s">
        <v>281</v>
      </c>
      <c r="P271" s="11" t="s">
        <v>1748</v>
      </c>
      <c r="Q271" s="13" t="s">
        <v>1749</v>
      </c>
      <c r="R271" s="11" t="s">
        <v>1750</v>
      </c>
      <c r="S271" s="12" t="s">
        <v>33</v>
      </c>
      <c r="T271" s="11" t="str">
        <f t="shared" si="8"/>
        <v>-4.8585552</v>
      </c>
      <c r="U271" s="11" t="str">
        <f t="shared" si="9"/>
        <v>-43.3486556</v>
      </c>
    </row>
    <row r="272" spans="1:21">
      <c r="A272" s="11" t="s">
        <v>1751</v>
      </c>
      <c r="B272" s="11" t="s">
        <v>1752</v>
      </c>
      <c r="C272" s="11">
        <v>51635532000136</v>
      </c>
      <c r="E272" s="12" t="s">
        <v>23</v>
      </c>
      <c r="F272" s="12" t="s">
        <v>718</v>
      </c>
      <c r="G272" s="11" t="s">
        <v>1753</v>
      </c>
      <c r="H272" s="11">
        <v>8303</v>
      </c>
      <c r="I272" s="11" t="s">
        <v>26</v>
      </c>
      <c r="J272" s="11">
        <v>74593841</v>
      </c>
      <c r="K272" s="11" t="s">
        <v>1754</v>
      </c>
      <c r="L272" s="11" t="s">
        <v>722</v>
      </c>
      <c r="M272" s="11" t="s">
        <v>723</v>
      </c>
      <c r="P272" s="11" t="s">
        <v>1755</v>
      </c>
      <c r="Q272" s="13">
        <v>-16.678609999999999</v>
      </c>
      <c r="R272" s="11">
        <v>-49.253889999999998</v>
      </c>
      <c r="S272" s="12" t="s">
        <v>70</v>
      </c>
      <c r="T272" s="11" t="str">
        <f t="shared" si="8"/>
        <v>-16.67861</v>
      </c>
      <c r="U272" s="11" t="str">
        <f t="shared" si="9"/>
        <v>-49.25389</v>
      </c>
    </row>
    <row r="273" spans="1:21">
      <c r="A273" s="11" t="s">
        <v>1756</v>
      </c>
      <c r="B273" s="11" t="s">
        <v>1757</v>
      </c>
      <c r="C273" s="11">
        <v>51593668000120</v>
      </c>
      <c r="E273" s="12" t="s">
        <v>23</v>
      </c>
      <c r="F273" s="12" t="s">
        <v>1758</v>
      </c>
      <c r="G273" s="11" t="s">
        <v>1759</v>
      </c>
      <c r="H273" s="11">
        <v>78</v>
      </c>
      <c r="I273" s="11" t="s">
        <v>1760</v>
      </c>
      <c r="J273" s="11">
        <v>49680000</v>
      </c>
      <c r="K273" s="11" t="s">
        <v>39</v>
      </c>
      <c r="L273" s="11" t="s">
        <v>1761</v>
      </c>
      <c r="M273" s="11" t="s">
        <v>49</v>
      </c>
      <c r="P273" s="11" t="s">
        <v>1762</v>
      </c>
      <c r="Q273" s="13" t="s">
        <v>1763</v>
      </c>
      <c r="R273" s="11" t="s">
        <v>1764</v>
      </c>
      <c r="S273" s="12" t="s">
        <v>33</v>
      </c>
      <c r="T273" s="11" t="str">
        <f t="shared" si="8"/>
        <v>-10.2188811</v>
      </c>
      <c r="U273" s="11" t="str">
        <f t="shared" si="9"/>
        <v>-37.4199759</v>
      </c>
    </row>
    <row r="274" spans="1:21">
      <c r="A274" s="11" t="s">
        <v>1765</v>
      </c>
      <c r="B274" s="11" t="s">
        <v>1766</v>
      </c>
      <c r="C274" s="11">
        <v>37532600000100</v>
      </c>
      <c r="E274" s="12" t="s">
        <v>23</v>
      </c>
      <c r="F274" s="12" t="s">
        <v>1767</v>
      </c>
      <c r="G274" s="11" t="s">
        <v>1531</v>
      </c>
      <c r="H274" s="11">
        <v>450</v>
      </c>
      <c r="I274" s="11" t="s">
        <v>1768</v>
      </c>
      <c r="J274" s="11">
        <v>36013001</v>
      </c>
      <c r="K274" s="11" t="s">
        <v>39</v>
      </c>
      <c r="L274" s="11" t="s">
        <v>1769</v>
      </c>
      <c r="M274" s="11" t="s">
        <v>404</v>
      </c>
      <c r="P274" s="11" t="s">
        <v>1770</v>
      </c>
      <c r="Q274" s="13">
        <v>-21.761205199999999</v>
      </c>
      <c r="R274" s="11">
        <v>-43.353006700000002</v>
      </c>
      <c r="S274" s="12" t="s">
        <v>70</v>
      </c>
      <c r="T274" s="11" t="str">
        <f t="shared" si="8"/>
        <v>-21.7612052</v>
      </c>
      <c r="U274" s="11" t="str">
        <f t="shared" si="9"/>
        <v>-43.3530067</v>
      </c>
    </row>
    <row r="275" spans="1:21">
      <c r="A275" s="11" t="s">
        <v>1771</v>
      </c>
      <c r="B275" s="11" t="s">
        <v>1772</v>
      </c>
      <c r="C275" s="11">
        <v>51677959000105</v>
      </c>
      <c r="E275" s="12" t="s">
        <v>23</v>
      </c>
      <c r="F275" s="12" t="s">
        <v>1773</v>
      </c>
      <c r="G275" s="11" t="s">
        <v>1774</v>
      </c>
      <c r="H275" s="11">
        <v>220</v>
      </c>
      <c r="I275" s="11" t="s">
        <v>1775</v>
      </c>
      <c r="J275" s="11">
        <v>65485000</v>
      </c>
      <c r="K275" s="11" t="s">
        <v>1776</v>
      </c>
      <c r="L275" s="11" t="s">
        <v>1777</v>
      </c>
      <c r="M275" s="11" t="s">
        <v>281</v>
      </c>
      <c r="P275" s="11" t="s">
        <v>1778</v>
      </c>
      <c r="Q275" s="13" t="s">
        <v>1779</v>
      </c>
      <c r="R275" s="11" t="s">
        <v>1780</v>
      </c>
      <c r="S275" s="12" t="s">
        <v>33</v>
      </c>
      <c r="T275" s="11" t="str">
        <f t="shared" si="8"/>
        <v>-3.3973569</v>
      </c>
      <c r="U275" s="11" t="str">
        <f t="shared" si="9"/>
        <v>-44.3560724</v>
      </c>
    </row>
    <row r="276" spans="1:21">
      <c r="A276" s="11" t="s">
        <v>1781</v>
      </c>
      <c r="B276" s="11" t="s">
        <v>1782</v>
      </c>
      <c r="C276" s="11">
        <v>51756805000109</v>
      </c>
      <c r="E276" s="12" t="s">
        <v>23</v>
      </c>
      <c r="F276" s="12" t="s">
        <v>55</v>
      </c>
      <c r="G276" s="11" t="s">
        <v>1783</v>
      </c>
      <c r="H276" s="11">
        <v>352</v>
      </c>
      <c r="I276" s="11" t="s">
        <v>26</v>
      </c>
      <c r="J276" s="11">
        <v>56395000</v>
      </c>
      <c r="K276" s="11" t="s">
        <v>39</v>
      </c>
      <c r="L276" s="11" t="s">
        <v>1784</v>
      </c>
      <c r="M276" s="11" t="s">
        <v>29</v>
      </c>
      <c r="P276" s="11" t="s">
        <v>1785</v>
      </c>
      <c r="Q276" s="13" t="s">
        <v>1786</v>
      </c>
      <c r="R276" s="11" t="s">
        <v>1787</v>
      </c>
      <c r="S276" s="12" t="s">
        <v>33</v>
      </c>
      <c r="T276" s="11" t="str">
        <f t="shared" si="8"/>
        <v>-8.9930649</v>
      </c>
      <c r="U276" s="11" t="str">
        <f t="shared" si="9"/>
        <v>-40.2716452</v>
      </c>
    </row>
    <row r="277" spans="1:21">
      <c r="A277" s="11" t="s">
        <v>1788</v>
      </c>
      <c r="B277" s="11" t="s">
        <v>842</v>
      </c>
      <c r="C277" s="11">
        <v>45783280000190</v>
      </c>
      <c r="E277" s="12" t="s">
        <v>23</v>
      </c>
      <c r="F277" s="12" t="s">
        <v>302</v>
      </c>
      <c r="G277" s="11" t="s">
        <v>843</v>
      </c>
      <c r="H277" s="11">
        <v>165</v>
      </c>
      <c r="I277" s="11" t="s">
        <v>1789</v>
      </c>
      <c r="J277" s="11">
        <v>40070080</v>
      </c>
      <c r="K277" s="11" t="s">
        <v>844</v>
      </c>
      <c r="L277" s="11" t="s">
        <v>755</v>
      </c>
      <c r="M277" s="11" t="s">
        <v>86</v>
      </c>
      <c r="P277" s="11" t="s">
        <v>845</v>
      </c>
      <c r="Q277" s="13" t="s">
        <v>846</v>
      </c>
      <c r="R277" s="11" t="s">
        <v>847</v>
      </c>
      <c r="S277" s="12" t="s">
        <v>33</v>
      </c>
      <c r="T277" s="11" t="str">
        <f t="shared" si="8"/>
        <v>-12.9843168</v>
      </c>
      <c r="U277" s="11" t="str">
        <f t="shared" si="9"/>
        <v>-38.5131907</v>
      </c>
    </row>
    <row r="278" spans="1:21">
      <c r="A278" s="11" t="s">
        <v>1790</v>
      </c>
      <c r="B278" s="11" t="s">
        <v>842</v>
      </c>
      <c r="C278" s="11">
        <v>45783280000190</v>
      </c>
      <c r="E278" s="12" t="s">
        <v>23</v>
      </c>
      <c r="F278" s="12" t="s">
        <v>302</v>
      </c>
      <c r="G278" s="11" t="s">
        <v>1791</v>
      </c>
      <c r="H278" s="11">
        <v>165</v>
      </c>
      <c r="I278" s="11" t="s">
        <v>851</v>
      </c>
      <c r="J278" s="11">
        <v>40070080</v>
      </c>
      <c r="K278" s="11" t="s">
        <v>844</v>
      </c>
      <c r="L278" s="11" t="s">
        <v>755</v>
      </c>
      <c r="M278" s="11" t="s">
        <v>86</v>
      </c>
      <c r="P278" s="11" t="s">
        <v>845</v>
      </c>
      <c r="Q278" s="13" t="s">
        <v>846</v>
      </c>
      <c r="R278" s="11" t="s">
        <v>847</v>
      </c>
      <c r="S278" s="12" t="s">
        <v>33</v>
      </c>
      <c r="T278" s="11" t="str">
        <f t="shared" si="8"/>
        <v>-12.9843168</v>
      </c>
      <c r="U278" s="11" t="str">
        <f t="shared" si="9"/>
        <v>-38.5131907</v>
      </c>
    </row>
    <row r="279" spans="1:21">
      <c r="A279" s="11" t="s">
        <v>1792</v>
      </c>
      <c r="B279" s="11" t="s">
        <v>461</v>
      </c>
      <c r="C279" s="11">
        <v>42991518000184</v>
      </c>
      <c r="E279" s="12" t="s">
        <v>23</v>
      </c>
      <c r="F279" s="12" t="s">
        <v>302</v>
      </c>
      <c r="G279" s="11" t="s">
        <v>463</v>
      </c>
      <c r="H279" s="11">
        <v>3840</v>
      </c>
      <c r="I279" s="11" t="s">
        <v>851</v>
      </c>
      <c r="J279" s="11">
        <v>60840285</v>
      </c>
      <c r="K279" s="11" t="s">
        <v>465</v>
      </c>
      <c r="L279" s="11" t="s">
        <v>437</v>
      </c>
      <c r="M279" s="11" t="s">
        <v>354</v>
      </c>
      <c r="P279" s="11" t="s">
        <v>466</v>
      </c>
      <c r="Q279" s="13" t="s">
        <v>467</v>
      </c>
      <c r="R279" s="11" t="s">
        <v>468</v>
      </c>
      <c r="S279" s="12" t="s">
        <v>33</v>
      </c>
      <c r="T279" s="11" t="str">
        <f t="shared" si="8"/>
        <v>-3.8196177</v>
      </c>
      <c r="U279" s="11" t="str">
        <f t="shared" si="9"/>
        <v>-38.4963629</v>
      </c>
    </row>
    <row r="280" spans="1:21">
      <c r="A280" s="11" t="s">
        <v>1793</v>
      </c>
      <c r="B280" s="11" t="s">
        <v>1794</v>
      </c>
      <c r="C280" s="11">
        <v>38636332000210</v>
      </c>
      <c r="E280" s="12" t="s">
        <v>23</v>
      </c>
      <c r="F280" s="12" t="s">
        <v>1795</v>
      </c>
      <c r="G280" s="11" t="s">
        <v>1796</v>
      </c>
      <c r="H280" s="11">
        <v>301</v>
      </c>
      <c r="I280" s="11" t="s">
        <v>473</v>
      </c>
      <c r="J280" s="11">
        <v>9520180</v>
      </c>
      <c r="K280" s="11" t="s">
        <v>1797</v>
      </c>
      <c r="L280" s="11" t="s">
        <v>1798</v>
      </c>
      <c r="M280" s="11" t="s">
        <v>78</v>
      </c>
      <c r="P280" s="11" t="s">
        <v>1799</v>
      </c>
      <c r="Q280" s="13">
        <v>-23.608132300000001</v>
      </c>
      <c r="R280" s="11">
        <v>-46.566608299999999</v>
      </c>
      <c r="S280" s="12" t="s">
        <v>70</v>
      </c>
      <c r="T280" s="11" t="str">
        <f t="shared" si="8"/>
        <v>-23.6081323</v>
      </c>
      <c r="U280" s="11" t="str">
        <f t="shared" si="9"/>
        <v>-46.5666083</v>
      </c>
    </row>
    <row r="281" spans="1:21">
      <c r="A281" s="11" t="s">
        <v>1800</v>
      </c>
      <c r="B281" s="11" t="s">
        <v>1801</v>
      </c>
      <c r="C281" s="11">
        <v>51703260000164</v>
      </c>
      <c r="E281" s="12" t="s">
        <v>23</v>
      </c>
      <c r="F281" s="12" t="s">
        <v>1802</v>
      </c>
      <c r="G281" s="11" t="s">
        <v>1803</v>
      </c>
      <c r="H281" s="11">
        <v>1</v>
      </c>
      <c r="I281" s="11" t="s">
        <v>26</v>
      </c>
      <c r="J281" s="11">
        <v>65200000</v>
      </c>
      <c r="K281" s="11" t="s">
        <v>1804</v>
      </c>
      <c r="L281" s="11" t="s">
        <v>1803</v>
      </c>
      <c r="M281" s="11" t="s">
        <v>281</v>
      </c>
      <c r="P281" s="11" t="s">
        <v>1805</v>
      </c>
      <c r="Q281" s="13" t="s">
        <v>1806</v>
      </c>
      <c r="R281" s="11" t="s">
        <v>1807</v>
      </c>
      <c r="S281" s="12" t="s">
        <v>33</v>
      </c>
      <c r="T281" s="11" t="str">
        <f t="shared" si="8"/>
        <v>-2.5270459</v>
      </c>
      <c r="U281" s="11" t="str">
        <f t="shared" si="9"/>
        <v>-45.0866463</v>
      </c>
    </row>
    <row r="282" spans="1:21">
      <c r="A282" s="11" t="s">
        <v>1808</v>
      </c>
      <c r="B282" s="11" t="s">
        <v>1809</v>
      </c>
      <c r="C282" s="11">
        <v>29366554000199</v>
      </c>
      <c r="E282" s="12" t="s">
        <v>23</v>
      </c>
      <c r="F282" s="12" t="s">
        <v>1810</v>
      </c>
      <c r="G282" s="11" t="s">
        <v>1811</v>
      </c>
      <c r="H282" s="11">
        <v>2121</v>
      </c>
      <c r="I282" s="11" t="s">
        <v>1242</v>
      </c>
      <c r="J282" s="11">
        <v>68800000</v>
      </c>
      <c r="K282" s="11" t="s">
        <v>39</v>
      </c>
      <c r="L282" s="11" t="s">
        <v>1812</v>
      </c>
      <c r="M282" s="11" t="s">
        <v>225</v>
      </c>
      <c r="P282" s="11" t="s">
        <v>1813</v>
      </c>
      <c r="Q282" s="13" t="s">
        <v>1814</v>
      </c>
      <c r="R282" s="11" t="s">
        <v>1815</v>
      </c>
      <c r="S282" s="12" t="s">
        <v>33</v>
      </c>
      <c r="T282" s="11" t="str">
        <f t="shared" si="8"/>
        <v>-1.6803600</v>
      </c>
      <c r="U282" s="11" t="str">
        <f t="shared" si="9"/>
        <v>-50.4790850</v>
      </c>
    </row>
    <row r="283" spans="1:21">
      <c r="A283" s="11" t="s">
        <v>1816</v>
      </c>
      <c r="B283" s="11" t="s">
        <v>579</v>
      </c>
      <c r="C283" s="11">
        <v>35047234000250</v>
      </c>
      <c r="E283" s="12" t="s">
        <v>23</v>
      </c>
      <c r="F283" s="12" t="s">
        <v>580</v>
      </c>
      <c r="G283" s="11" t="s">
        <v>1817</v>
      </c>
      <c r="H283" s="11">
        <v>75</v>
      </c>
      <c r="I283" s="11" t="s">
        <v>26</v>
      </c>
      <c r="J283" s="11">
        <v>68005290</v>
      </c>
      <c r="K283" s="11" t="s">
        <v>39</v>
      </c>
      <c r="L283" s="11" t="s">
        <v>583</v>
      </c>
      <c r="M283" s="11" t="s">
        <v>225</v>
      </c>
      <c r="P283" s="11" t="s">
        <v>1818</v>
      </c>
      <c r="Q283" s="13" t="s">
        <v>1819</v>
      </c>
      <c r="R283" s="11" t="s">
        <v>1820</v>
      </c>
      <c r="S283" s="12" t="s">
        <v>33</v>
      </c>
      <c r="T283" s="11" t="str">
        <f t="shared" si="8"/>
        <v>-2.4178889</v>
      </c>
      <c r="U283" s="11" t="str">
        <f t="shared" si="9"/>
        <v>-54.7127601</v>
      </c>
    </row>
    <row r="284" spans="1:21">
      <c r="A284" s="11" t="s">
        <v>1821</v>
      </c>
      <c r="B284" s="11" t="s">
        <v>1822</v>
      </c>
      <c r="C284" s="11">
        <v>34881356000527</v>
      </c>
      <c r="E284" s="12" t="s">
        <v>23</v>
      </c>
      <c r="F284" s="12" t="s">
        <v>1823</v>
      </c>
      <c r="G284" s="11" t="s">
        <v>1824</v>
      </c>
      <c r="H284" s="11">
        <v>1500</v>
      </c>
      <c r="I284" s="11" t="s">
        <v>26</v>
      </c>
      <c r="J284" s="11">
        <v>14096901</v>
      </c>
      <c r="K284" s="11" t="s">
        <v>1825</v>
      </c>
      <c r="L284" s="11" t="s">
        <v>1826</v>
      </c>
      <c r="M284" s="11" t="s">
        <v>78</v>
      </c>
      <c r="P284" s="11" t="s">
        <v>1315</v>
      </c>
      <c r="Q284" s="13" t="s">
        <v>1316</v>
      </c>
      <c r="R284" s="11" t="s">
        <v>1317</v>
      </c>
      <c r="S284" s="12" t="s">
        <v>33</v>
      </c>
      <c r="T284" s="11" t="str">
        <f t="shared" si="8"/>
        <v>-21.2057791</v>
      </c>
      <c r="U284" s="11" t="str">
        <f t="shared" si="9"/>
        <v>-47.7690397</v>
      </c>
    </row>
    <row r="285" spans="1:21">
      <c r="A285" s="11" t="s">
        <v>1827</v>
      </c>
      <c r="B285" s="11" t="s">
        <v>1809</v>
      </c>
      <c r="C285" s="11">
        <v>29366554000199</v>
      </c>
      <c r="E285" s="12" t="s">
        <v>23</v>
      </c>
      <c r="F285" s="12" t="s">
        <v>1810</v>
      </c>
      <c r="G285" s="11" t="s">
        <v>1811</v>
      </c>
      <c r="H285" s="11">
        <v>2121</v>
      </c>
      <c r="I285" s="11" t="s">
        <v>1828</v>
      </c>
      <c r="J285" s="11">
        <v>68800000</v>
      </c>
      <c r="K285" s="11" t="s">
        <v>39</v>
      </c>
      <c r="L285" s="11" t="s">
        <v>1829</v>
      </c>
      <c r="M285" s="11" t="s">
        <v>225</v>
      </c>
      <c r="P285" s="11" t="s">
        <v>1813</v>
      </c>
      <c r="Q285" s="13" t="s">
        <v>1814</v>
      </c>
      <c r="R285" s="11" t="s">
        <v>1815</v>
      </c>
      <c r="S285" s="12" t="s">
        <v>33</v>
      </c>
      <c r="T285" s="11" t="str">
        <f t="shared" si="8"/>
        <v>-1.6803600</v>
      </c>
      <c r="U285" s="11" t="str">
        <f t="shared" si="9"/>
        <v>-50.4790850</v>
      </c>
    </row>
    <row r="286" spans="1:21">
      <c r="A286" s="11" t="s">
        <v>1830</v>
      </c>
      <c r="B286" s="11" t="s">
        <v>1831</v>
      </c>
      <c r="C286" s="11">
        <v>51883376000122</v>
      </c>
      <c r="E286" s="12" t="s">
        <v>23</v>
      </c>
      <c r="F286" s="12" t="s">
        <v>302</v>
      </c>
      <c r="G286" s="11" t="s">
        <v>1832</v>
      </c>
      <c r="H286" s="11" t="s">
        <v>291</v>
      </c>
      <c r="I286" s="11" t="s">
        <v>1833</v>
      </c>
      <c r="J286" s="11">
        <v>48700000</v>
      </c>
      <c r="K286" s="11" t="s">
        <v>1834</v>
      </c>
      <c r="L286" s="11" t="s">
        <v>1835</v>
      </c>
      <c r="M286" s="11" t="s">
        <v>86</v>
      </c>
      <c r="P286" s="11" t="s">
        <v>1836</v>
      </c>
      <c r="Q286" s="13" t="s">
        <v>1837</v>
      </c>
      <c r="R286" s="11" t="s">
        <v>1838</v>
      </c>
      <c r="S286" s="12" t="s">
        <v>33</v>
      </c>
      <c r="T286" s="11" t="str">
        <f t="shared" si="8"/>
        <v>-11.6619900</v>
      </c>
      <c r="U286" s="11" t="str">
        <f t="shared" si="9"/>
        <v>-39.0034021</v>
      </c>
    </row>
    <row r="287" spans="1:21">
      <c r="A287" s="11" t="s">
        <v>1839</v>
      </c>
      <c r="B287" s="11" t="s">
        <v>1831</v>
      </c>
      <c r="C287" s="11">
        <v>51883376000122</v>
      </c>
      <c r="E287" s="12" t="s">
        <v>23</v>
      </c>
      <c r="F287" s="12" t="s">
        <v>302</v>
      </c>
      <c r="G287" s="11" t="s">
        <v>1840</v>
      </c>
      <c r="H287" s="11" t="s">
        <v>291</v>
      </c>
      <c r="I287" s="11" t="s">
        <v>1010</v>
      </c>
      <c r="J287" s="11">
        <v>48700000</v>
      </c>
      <c r="K287" s="11" t="s">
        <v>1834</v>
      </c>
      <c r="L287" s="11" t="s">
        <v>1835</v>
      </c>
      <c r="M287" s="11" t="s">
        <v>86</v>
      </c>
      <c r="P287" s="11" t="s">
        <v>1836</v>
      </c>
      <c r="Q287" s="13" t="s">
        <v>1837</v>
      </c>
      <c r="R287" s="11" t="s">
        <v>1838</v>
      </c>
      <c r="S287" s="12" t="s">
        <v>33</v>
      </c>
      <c r="T287" s="11" t="str">
        <f t="shared" si="8"/>
        <v>-11.6619900</v>
      </c>
      <c r="U287" s="11" t="str">
        <f t="shared" si="9"/>
        <v>-39.0034021</v>
      </c>
    </row>
    <row r="288" spans="1:21">
      <c r="A288" s="11" t="s">
        <v>1841</v>
      </c>
      <c r="B288" s="11" t="s">
        <v>1822</v>
      </c>
      <c r="C288" s="11">
        <v>34881356000284</v>
      </c>
      <c r="E288" s="12" t="s">
        <v>23</v>
      </c>
      <c r="F288" s="12" t="s">
        <v>1842</v>
      </c>
      <c r="G288" s="11" t="s">
        <v>1843</v>
      </c>
      <c r="H288" s="11">
        <v>574</v>
      </c>
      <c r="I288" s="11" t="s">
        <v>1010</v>
      </c>
      <c r="J288" s="11">
        <v>9655000</v>
      </c>
      <c r="K288" s="11" t="s">
        <v>1844</v>
      </c>
      <c r="L288" s="11" t="s">
        <v>1845</v>
      </c>
      <c r="M288" s="11" t="s">
        <v>78</v>
      </c>
      <c r="P288" s="11" t="s">
        <v>1846</v>
      </c>
      <c r="Q288" s="13">
        <v>-23.69389</v>
      </c>
      <c r="R288" s="11">
        <v>-46.564999999999998</v>
      </c>
      <c r="S288" s="12" t="s">
        <v>70</v>
      </c>
      <c r="T288" s="11" t="str">
        <f t="shared" si="8"/>
        <v>-23.69389</v>
      </c>
      <c r="U288" s="11" t="str">
        <f t="shared" si="9"/>
        <v>-46.565</v>
      </c>
    </row>
    <row r="289" spans="1:21">
      <c r="A289" s="11" t="s">
        <v>1847</v>
      </c>
      <c r="B289" s="11" t="s">
        <v>1848</v>
      </c>
      <c r="C289" s="11">
        <v>24308288000124</v>
      </c>
      <c r="E289" s="12" t="s">
        <v>23</v>
      </c>
      <c r="F289" s="12" t="s">
        <v>1849</v>
      </c>
      <c r="G289" s="11" t="s">
        <v>1850</v>
      </c>
      <c r="H289" s="11">
        <v>767</v>
      </c>
      <c r="I289" s="11" t="s">
        <v>1851</v>
      </c>
      <c r="J289" s="11">
        <v>65020251</v>
      </c>
      <c r="K289" s="11" t="s">
        <v>39</v>
      </c>
      <c r="L289" s="11" t="s">
        <v>511</v>
      </c>
      <c r="M289" s="11" t="s">
        <v>281</v>
      </c>
      <c r="P289" s="11" t="s">
        <v>1852</v>
      </c>
      <c r="Q289" s="13" t="s">
        <v>1853</v>
      </c>
      <c r="R289" s="11" t="s">
        <v>1854</v>
      </c>
      <c r="S289" s="12" t="s">
        <v>33</v>
      </c>
      <c r="T289" s="11" t="str">
        <f t="shared" si="8"/>
        <v>-2.5323978</v>
      </c>
      <c r="U289" s="11" t="str">
        <f t="shared" si="9"/>
        <v>-44.2914495</v>
      </c>
    </row>
    <row r="290" spans="1:21">
      <c r="A290" s="11" t="s">
        <v>1855</v>
      </c>
      <c r="B290" s="11" t="s">
        <v>1271</v>
      </c>
      <c r="C290" s="11">
        <v>47727155000198</v>
      </c>
      <c r="E290" s="12" t="s">
        <v>23</v>
      </c>
      <c r="F290" s="12" t="s">
        <v>1272</v>
      </c>
      <c r="G290" s="11" t="s">
        <v>1273</v>
      </c>
      <c r="H290" s="11">
        <v>151</v>
      </c>
      <c r="I290" s="11" t="s">
        <v>1856</v>
      </c>
      <c r="J290" s="11">
        <v>56308100</v>
      </c>
      <c r="K290" s="11" t="s">
        <v>1275</v>
      </c>
      <c r="L290" s="11" t="s">
        <v>58</v>
      </c>
      <c r="M290" s="11" t="s">
        <v>29</v>
      </c>
      <c r="P290" s="11" t="s">
        <v>1276</v>
      </c>
      <c r="Q290" s="13" t="s">
        <v>1277</v>
      </c>
      <c r="R290" s="11" t="s">
        <v>1278</v>
      </c>
      <c r="S290" s="12" t="s">
        <v>33</v>
      </c>
      <c r="T290" s="11" t="str">
        <f t="shared" si="8"/>
        <v>-9.3978978</v>
      </c>
      <c r="U290" s="11" t="str">
        <f t="shared" si="9"/>
        <v>-40.5106316</v>
      </c>
    </row>
    <row r="291" spans="1:21">
      <c r="A291" s="11" t="s">
        <v>1857</v>
      </c>
      <c r="B291" s="11" t="s">
        <v>1858</v>
      </c>
      <c r="C291" s="11">
        <v>52014957000190</v>
      </c>
      <c r="E291" s="12" t="s">
        <v>23</v>
      </c>
      <c r="F291" s="12" t="s">
        <v>1859</v>
      </c>
      <c r="G291" s="11" t="s">
        <v>1860</v>
      </c>
      <c r="H291" s="11">
        <v>570</v>
      </c>
      <c r="I291" s="11" t="s">
        <v>1861</v>
      </c>
      <c r="J291" s="11">
        <v>56000000</v>
      </c>
      <c r="K291" s="11" t="s">
        <v>1862</v>
      </c>
      <c r="L291" s="11" t="s">
        <v>1863</v>
      </c>
      <c r="M291" s="11" t="s">
        <v>29</v>
      </c>
      <c r="P291" s="11" t="s">
        <v>1864</v>
      </c>
      <c r="Q291" s="13" t="s">
        <v>1865</v>
      </c>
      <c r="R291" s="11" t="s">
        <v>1866</v>
      </c>
      <c r="S291" s="12" t="s">
        <v>33</v>
      </c>
      <c r="T291" s="11" t="str">
        <f t="shared" si="8"/>
        <v>-8.0726731</v>
      </c>
      <c r="U291" s="11" t="str">
        <f t="shared" si="9"/>
        <v>-39.1269719</v>
      </c>
    </row>
    <row r="292" spans="1:21">
      <c r="A292" s="11" t="s">
        <v>1867</v>
      </c>
      <c r="B292" s="11" t="s">
        <v>1868</v>
      </c>
      <c r="C292" s="11">
        <v>52019923000199</v>
      </c>
      <c r="E292" s="12" t="s">
        <v>23</v>
      </c>
      <c r="F292" s="12" t="s">
        <v>1869</v>
      </c>
      <c r="G292" s="11" t="s">
        <v>1870</v>
      </c>
      <c r="H292" s="11">
        <v>295</v>
      </c>
      <c r="I292" s="11" t="s">
        <v>1871</v>
      </c>
      <c r="J292" s="11">
        <v>54735110</v>
      </c>
      <c r="K292" s="11" t="s">
        <v>39</v>
      </c>
      <c r="L292" s="11" t="s">
        <v>1872</v>
      </c>
      <c r="M292" s="11" t="s">
        <v>29</v>
      </c>
      <c r="P292" s="11" t="s">
        <v>1873</v>
      </c>
      <c r="Q292" s="13" t="s">
        <v>1874</v>
      </c>
      <c r="R292" s="11" t="s">
        <v>1875</v>
      </c>
      <c r="S292" s="12" t="s">
        <v>33</v>
      </c>
      <c r="T292" s="11" t="str">
        <f t="shared" si="8"/>
        <v>-7.9946095</v>
      </c>
      <c r="U292" s="11" t="str">
        <f t="shared" si="9"/>
        <v>-35.0394103</v>
      </c>
    </row>
    <row r="293" spans="1:21">
      <c r="A293" s="11" t="s">
        <v>1876</v>
      </c>
      <c r="B293" s="11" t="s">
        <v>1877</v>
      </c>
      <c r="C293" s="11">
        <v>26897962000189</v>
      </c>
      <c r="E293" s="12" t="s">
        <v>23</v>
      </c>
      <c r="F293" s="12" t="s">
        <v>1878</v>
      </c>
      <c r="G293" s="11" t="s">
        <v>1879</v>
      </c>
      <c r="H293" s="11">
        <v>404</v>
      </c>
      <c r="I293" s="11" t="s">
        <v>26</v>
      </c>
      <c r="J293" s="11">
        <v>22740010</v>
      </c>
      <c r="K293" s="11" t="s">
        <v>636</v>
      </c>
      <c r="L293" s="11" t="s">
        <v>313</v>
      </c>
      <c r="M293" s="11" t="s">
        <v>68</v>
      </c>
      <c r="P293" s="11" t="s">
        <v>1880</v>
      </c>
      <c r="Q293" s="13">
        <v>-22.923443500000001</v>
      </c>
      <c r="R293" s="11">
        <v>-43.361339200000003</v>
      </c>
      <c r="S293" s="12" t="s">
        <v>70</v>
      </c>
      <c r="T293" s="11" t="str">
        <f t="shared" si="8"/>
        <v>-22.9234435</v>
      </c>
      <c r="U293" s="11" t="str">
        <f t="shared" si="9"/>
        <v>-43.3613392</v>
      </c>
    </row>
    <row r="294" spans="1:21">
      <c r="A294" s="11" t="s">
        <v>1881</v>
      </c>
      <c r="B294" s="11" t="s">
        <v>1882</v>
      </c>
      <c r="C294" s="11">
        <v>47452185000139</v>
      </c>
      <c r="E294" s="12" t="s">
        <v>23</v>
      </c>
      <c r="F294" s="12" t="s">
        <v>434</v>
      </c>
      <c r="G294" s="11" t="s">
        <v>1883</v>
      </c>
      <c r="H294" s="11">
        <v>300</v>
      </c>
      <c r="I294" s="11" t="s">
        <v>26</v>
      </c>
      <c r="J294" s="11">
        <v>62050255</v>
      </c>
      <c r="K294" s="11" t="s">
        <v>1884</v>
      </c>
      <c r="L294" s="11" t="s">
        <v>1050</v>
      </c>
      <c r="M294" s="11" t="s">
        <v>354</v>
      </c>
      <c r="P294" s="11" t="s">
        <v>1885</v>
      </c>
      <c r="Q294" s="13">
        <v>-3.6861100000000002</v>
      </c>
      <c r="R294" s="11">
        <v>-40.349719999999998</v>
      </c>
      <c r="S294" s="12" t="s">
        <v>70</v>
      </c>
      <c r="T294" s="11" t="str">
        <f t="shared" si="8"/>
        <v>-3.68611</v>
      </c>
      <c r="U294" s="11" t="str">
        <f t="shared" si="9"/>
        <v>-40.34972</v>
      </c>
    </row>
    <row r="295" spans="1:21">
      <c r="A295" s="11" t="s">
        <v>1886</v>
      </c>
      <c r="B295" s="11" t="s">
        <v>1887</v>
      </c>
      <c r="C295" s="11">
        <v>52005794000180</v>
      </c>
      <c r="E295" s="12" t="s">
        <v>23</v>
      </c>
      <c r="F295" s="12" t="s">
        <v>143</v>
      </c>
      <c r="G295" s="11" t="s">
        <v>1888</v>
      </c>
      <c r="H295" s="11">
        <v>108</v>
      </c>
      <c r="I295" s="11" t="s">
        <v>1010</v>
      </c>
      <c r="J295" s="11">
        <v>57300310</v>
      </c>
      <c r="K295" s="11" t="s">
        <v>39</v>
      </c>
      <c r="L295" s="11" t="s">
        <v>1626</v>
      </c>
      <c r="M295" s="11" t="s">
        <v>147</v>
      </c>
      <c r="P295" s="11" t="s">
        <v>1889</v>
      </c>
      <c r="Q295" s="13" t="s">
        <v>1890</v>
      </c>
      <c r="R295" s="11" t="s">
        <v>1891</v>
      </c>
      <c r="S295" s="12" t="s">
        <v>33</v>
      </c>
      <c r="T295" s="11" t="str">
        <f t="shared" si="8"/>
        <v>-9.7529635</v>
      </c>
      <c r="U295" s="11" t="str">
        <f t="shared" si="9"/>
        <v>-36.6590988</v>
      </c>
    </row>
    <row r="296" spans="1:21">
      <c r="A296" s="11" t="s">
        <v>1892</v>
      </c>
      <c r="B296" s="11" t="s">
        <v>1893</v>
      </c>
      <c r="C296" s="11">
        <v>44223545000132</v>
      </c>
      <c r="E296" s="12" t="s">
        <v>23</v>
      </c>
      <c r="F296" s="12" t="s">
        <v>660</v>
      </c>
      <c r="G296" s="11" t="s">
        <v>1894</v>
      </c>
      <c r="H296" s="11">
        <v>3000</v>
      </c>
      <c r="I296" s="11" t="s">
        <v>26</v>
      </c>
      <c r="J296" s="11">
        <v>55612901</v>
      </c>
      <c r="K296" s="11" t="s">
        <v>1895</v>
      </c>
      <c r="L296" s="11" t="s">
        <v>663</v>
      </c>
      <c r="M296" s="11" t="s">
        <v>29</v>
      </c>
      <c r="P296" s="11" t="s">
        <v>1896</v>
      </c>
      <c r="Q296" s="13" t="s">
        <v>1897</v>
      </c>
      <c r="R296" s="11" t="s">
        <v>1898</v>
      </c>
      <c r="S296" s="12" t="s">
        <v>33</v>
      </c>
      <c r="T296" s="11" t="str">
        <f t="shared" si="8"/>
        <v>-8.1166887</v>
      </c>
      <c r="U296" s="11" t="str">
        <f t="shared" si="9"/>
        <v>-35.2710095</v>
      </c>
    </row>
    <row r="297" spans="1:21">
      <c r="A297" s="11" t="s">
        <v>1899</v>
      </c>
      <c r="B297" s="11" t="s">
        <v>1900</v>
      </c>
      <c r="C297" s="11">
        <v>52115161000124</v>
      </c>
      <c r="E297" s="12" t="s">
        <v>23</v>
      </c>
      <c r="F297" s="12" t="s">
        <v>1901</v>
      </c>
      <c r="G297" s="11" t="s">
        <v>1902</v>
      </c>
      <c r="H297" s="11">
        <v>2309</v>
      </c>
      <c r="I297" s="11" t="s">
        <v>1903</v>
      </c>
      <c r="J297" s="11">
        <v>64120000</v>
      </c>
      <c r="K297" s="11" t="s">
        <v>39</v>
      </c>
      <c r="L297" s="11" t="s">
        <v>1904</v>
      </c>
      <c r="M297" s="11" t="s">
        <v>391</v>
      </c>
      <c r="P297" s="11" t="s">
        <v>1905</v>
      </c>
      <c r="Q297" s="13" t="s">
        <v>1906</v>
      </c>
      <c r="R297" s="11" t="s">
        <v>1907</v>
      </c>
      <c r="S297" s="12" t="s">
        <v>33</v>
      </c>
      <c r="T297" s="11" t="str">
        <f t="shared" si="8"/>
        <v>-4.5892553</v>
      </c>
      <c r="U297" s="11" t="str">
        <f t="shared" si="9"/>
        <v>-42.8593348</v>
      </c>
    </row>
    <row r="298" spans="1:21">
      <c r="A298" s="11" t="s">
        <v>1908</v>
      </c>
      <c r="B298" s="11" t="s">
        <v>797</v>
      </c>
      <c r="C298" s="11">
        <v>52124686000126</v>
      </c>
      <c r="E298" s="12" t="s">
        <v>23</v>
      </c>
      <c r="F298" s="12" t="s">
        <v>1909</v>
      </c>
      <c r="G298" s="11" t="s">
        <v>1910</v>
      </c>
      <c r="H298" s="11">
        <v>45328</v>
      </c>
      <c r="I298" s="11" t="s">
        <v>26</v>
      </c>
      <c r="J298" s="11">
        <v>72915705</v>
      </c>
      <c r="K298" s="11" t="s">
        <v>1911</v>
      </c>
      <c r="L298" s="11" t="s">
        <v>1912</v>
      </c>
      <c r="M298" s="11" t="s">
        <v>723</v>
      </c>
      <c r="P298" s="11" t="s">
        <v>1913</v>
      </c>
      <c r="Q298" s="13">
        <v>-15.761939999999999</v>
      </c>
      <c r="R298" s="11">
        <v>-48.281669999999998</v>
      </c>
      <c r="S298" s="12" t="s">
        <v>70</v>
      </c>
      <c r="T298" s="11" t="str">
        <f t="shared" si="8"/>
        <v>-15.76194</v>
      </c>
      <c r="U298" s="11" t="str">
        <f t="shared" si="9"/>
        <v>-48.28167</v>
      </c>
    </row>
    <row r="299" spans="1:21">
      <c r="A299" s="11" t="s">
        <v>1914</v>
      </c>
      <c r="B299" s="11" t="s">
        <v>1915</v>
      </c>
      <c r="C299" s="11">
        <v>52168909000157</v>
      </c>
      <c r="E299" s="12" t="s">
        <v>23</v>
      </c>
      <c r="F299" s="12" t="s">
        <v>1916</v>
      </c>
      <c r="G299" s="11" t="s">
        <v>1917</v>
      </c>
      <c r="H299" s="11">
        <v>134</v>
      </c>
      <c r="I299" s="11" t="s">
        <v>1918</v>
      </c>
      <c r="J299" s="11">
        <v>25931762</v>
      </c>
      <c r="K299" s="11" t="s">
        <v>1919</v>
      </c>
      <c r="L299" s="11" t="s">
        <v>1920</v>
      </c>
      <c r="M299" s="11" t="s">
        <v>68</v>
      </c>
      <c r="P299" s="11" t="s">
        <v>1921</v>
      </c>
      <c r="Q299" s="13" t="s">
        <v>1922</v>
      </c>
      <c r="R299" s="11" t="s">
        <v>1923</v>
      </c>
      <c r="S299" s="12" t="s">
        <v>33</v>
      </c>
      <c r="T299" s="11" t="str">
        <f t="shared" si="8"/>
        <v>-22.6108101</v>
      </c>
      <c r="U299" s="11" t="str">
        <f t="shared" si="9"/>
        <v>-43.1780340</v>
      </c>
    </row>
    <row r="300" spans="1:21">
      <c r="A300" s="11" t="s">
        <v>1924</v>
      </c>
      <c r="B300" s="11" t="s">
        <v>1925</v>
      </c>
      <c r="C300" s="11">
        <v>51976233000165</v>
      </c>
      <c r="E300" s="12" t="s">
        <v>23</v>
      </c>
      <c r="F300" s="12" t="s">
        <v>1926</v>
      </c>
      <c r="G300" s="11" t="s">
        <v>1927</v>
      </c>
      <c r="H300" s="11">
        <v>32</v>
      </c>
      <c r="I300" s="11" t="s">
        <v>1928</v>
      </c>
      <c r="J300" s="11">
        <v>59575000</v>
      </c>
      <c r="K300" s="11" t="s">
        <v>39</v>
      </c>
      <c r="L300" s="11" t="s">
        <v>1929</v>
      </c>
      <c r="M300" s="11" t="s">
        <v>215</v>
      </c>
      <c r="P300" s="11" t="s">
        <v>1930</v>
      </c>
      <c r="Q300" s="13">
        <v>-5.7056431999999999</v>
      </c>
      <c r="R300" s="11">
        <v>-35.297933499999999</v>
      </c>
      <c r="S300" s="12" t="s">
        <v>70</v>
      </c>
      <c r="T300" s="11" t="str">
        <f t="shared" si="8"/>
        <v>-5.7056432</v>
      </c>
      <c r="U300" s="11" t="str">
        <f t="shared" si="9"/>
        <v>-35.2979335</v>
      </c>
    </row>
    <row r="301" spans="1:21">
      <c r="P301" s="11"/>
    </row>
    <row r="302" spans="1:21">
      <c r="A302" s="11" t="s">
        <v>1931</v>
      </c>
      <c r="B302" s="11" t="s">
        <v>1932</v>
      </c>
      <c r="C302" s="11">
        <v>52216973000166</v>
      </c>
      <c r="E302" s="12" t="s">
        <v>23</v>
      </c>
      <c r="F302" s="12" t="s">
        <v>1933</v>
      </c>
      <c r="G302" s="11" t="s">
        <v>1934</v>
      </c>
      <c r="H302" s="11">
        <v>1400</v>
      </c>
      <c r="I302" s="11" t="s">
        <v>26</v>
      </c>
      <c r="J302" s="11">
        <v>14784200</v>
      </c>
      <c r="K302" s="11" t="s">
        <v>1935</v>
      </c>
      <c r="L302" s="11" t="s">
        <v>1936</v>
      </c>
      <c r="M302" s="11" t="s">
        <v>78</v>
      </c>
      <c r="P302" s="11" t="s">
        <v>1937</v>
      </c>
      <c r="Q302" s="13" t="s">
        <v>1938</v>
      </c>
      <c r="R302" s="11" t="s">
        <v>1939</v>
      </c>
      <c r="S302" s="12" t="s">
        <v>33</v>
      </c>
      <c r="T302" s="11" t="str">
        <f t="shared" si="8"/>
        <v>-20.5781950</v>
      </c>
      <c r="U302" s="11" t="str">
        <f t="shared" si="9"/>
        <v>-48.5571363</v>
      </c>
    </row>
    <row r="303" spans="1:21">
      <c r="A303" s="11" t="s">
        <v>1940</v>
      </c>
      <c r="B303" s="11" t="s">
        <v>1831</v>
      </c>
      <c r="C303" s="11">
        <v>51883376000122</v>
      </c>
      <c r="E303" s="12" t="s">
        <v>23</v>
      </c>
      <c r="F303" s="12" t="s">
        <v>302</v>
      </c>
      <c r="G303" s="11" t="s">
        <v>1941</v>
      </c>
      <c r="H303" s="11" t="s">
        <v>291</v>
      </c>
      <c r="I303" s="11" t="s">
        <v>1942</v>
      </c>
      <c r="J303" s="11">
        <v>48700000</v>
      </c>
      <c r="K303" s="11" t="s">
        <v>1943</v>
      </c>
      <c r="L303" s="11" t="s">
        <v>1835</v>
      </c>
      <c r="M303" s="11" t="s">
        <v>86</v>
      </c>
      <c r="P303" s="11" t="s">
        <v>1836</v>
      </c>
      <c r="Q303" s="13" t="s">
        <v>1837</v>
      </c>
      <c r="R303" s="11" t="s">
        <v>1838</v>
      </c>
      <c r="S303" s="12" t="s">
        <v>33</v>
      </c>
      <c r="T303" s="11" t="str">
        <f t="shared" si="8"/>
        <v>-11.6619900</v>
      </c>
      <c r="U303" s="11" t="str">
        <f t="shared" si="9"/>
        <v>-39.0034021</v>
      </c>
    </row>
    <row r="304" spans="1:21">
      <c r="A304" s="11" t="s">
        <v>1944</v>
      </c>
      <c r="B304" s="11" t="s">
        <v>1831</v>
      </c>
      <c r="C304" s="11">
        <v>51883376000122</v>
      </c>
      <c r="E304" s="12" t="s">
        <v>23</v>
      </c>
      <c r="F304" s="12" t="s">
        <v>302</v>
      </c>
      <c r="G304" s="11" t="s">
        <v>1941</v>
      </c>
      <c r="H304" s="11" t="s">
        <v>291</v>
      </c>
      <c r="I304" s="11" t="s">
        <v>1010</v>
      </c>
      <c r="J304" s="11">
        <v>48700000</v>
      </c>
      <c r="K304" s="11" t="s">
        <v>1943</v>
      </c>
      <c r="L304" s="11" t="s">
        <v>1835</v>
      </c>
      <c r="M304" s="11" t="s">
        <v>86</v>
      </c>
      <c r="P304" s="11" t="s">
        <v>1836</v>
      </c>
      <c r="Q304" s="13" t="s">
        <v>1837</v>
      </c>
      <c r="R304" s="11" t="s">
        <v>1838</v>
      </c>
      <c r="S304" s="12" t="s">
        <v>33</v>
      </c>
      <c r="T304" s="11" t="str">
        <f t="shared" si="8"/>
        <v>-11.6619900</v>
      </c>
      <c r="U304" s="11" t="str">
        <f t="shared" si="9"/>
        <v>-39.0034021</v>
      </c>
    </row>
    <row r="305" spans="1:21">
      <c r="A305" s="11" t="s">
        <v>1945</v>
      </c>
      <c r="B305" s="11" t="s">
        <v>1556</v>
      </c>
      <c r="C305" s="11">
        <v>44028430000359</v>
      </c>
      <c r="E305" s="12" t="s">
        <v>23</v>
      </c>
      <c r="F305" s="12" t="s">
        <v>1557</v>
      </c>
      <c r="G305" s="11" t="s">
        <v>1946</v>
      </c>
      <c r="H305" s="11">
        <v>3300</v>
      </c>
      <c r="I305" s="11" t="s">
        <v>1010</v>
      </c>
      <c r="J305" s="11">
        <v>78050280</v>
      </c>
      <c r="K305" s="11" t="s">
        <v>1947</v>
      </c>
      <c r="L305" s="11" t="s">
        <v>1948</v>
      </c>
      <c r="M305" s="11" t="s">
        <v>1561</v>
      </c>
      <c r="P305" s="11" t="s">
        <v>1949</v>
      </c>
      <c r="Q305" s="13" t="s">
        <v>1950</v>
      </c>
      <c r="R305" s="11" t="s">
        <v>1951</v>
      </c>
      <c r="S305" s="12" t="s">
        <v>33</v>
      </c>
      <c r="T305" s="11" t="str">
        <f t="shared" si="8"/>
        <v>-15.5618627</v>
      </c>
      <c r="U305" s="11" t="str">
        <f t="shared" si="9"/>
        <v>-56.0633899</v>
      </c>
    </row>
    <row r="306" spans="1:21">
      <c r="A306" s="11" t="s">
        <v>1952</v>
      </c>
      <c r="B306" s="11" t="s">
        <v>1831</v>
      </c>
      <c r="C306" s="11">
        <v>51883376000122</v>
      </c>
      <c r="E306" s="12" t="s">
        <v>23</v>
      </c>
      <c r="F306" s="12" t="s">
        <v>302</v>
      </c>
      <c r="G306" s="11" t="s">
        <v>1941</v>
      </c>
      <c r="H306" s="11" t="s">
        <v>291</v>
      </c>
      <c r="I306" s="11" t="s">
        <v>26</v>
      </c>
      <c r="J306" s="11">
        <v>48700000</v>
      </c>
      <c r="K306" s="11" t="s">
        <v>1943</v>
      </c>
      <c r="L306" s="11" t="s">
        <v>1835</v>
      </c>
      <c r="M306" s="11" t="s">
        <v>86</v>
      </c>
      <c r="P306" s="11" t="s">
        <v>1836</v>
      </c>
      <c r="Q306" s="13" t="s">
        <v>1837</v>
      </c>
      <c r="R306" s="11" t="s">
        <v>1838</v>
      </c>
      <c r="S306" s="12" t="s">
        <v>33</v>
      </c>
      <c r="T306" s="11" t="str">
        <f t="shared" si="8"/>
        <v>-11.6619900</v>
      </c>
      <c r="U306" s="11" t="str">
        <f t="shared" si="9"/>
        <v>-39.0034021</v>
      </c>
    </row>
    <row r="307" spans="1:21">
      <c r="A307" s="11" t="s">
        <v>1953</v>
      </c>
      <c r="B307" s="11" t="s">
        <v>1954</v>
      </c>
      <c r="C307" s="11">
        <v>52230001000126</v>
      </c>
      <c r="E307" s="12" t="s">
        <v>23</v>
      </c>
      <c r="F307" s="12" t="s">
        <v>1955</v>
      </c>
      <c r="G307" s="11" t="s">
        <v>1956</v>
      </c>
      <c r="H307" s="11" t="s">
        <v>129</v>
      </c>
      <c r="I307" s="11" t="s">
        <v>1010</v>
      </c>
      <c r="J307" s="11">
        <v>72876301</v>
      </c>
      <c r="K307" s="11" t="s">
        <v>1957</v>
      </c>
      <c r="L307" s="11" t="s">
        <v>1958</v>
      </c>
      <c r="M307" s="11" t="s">
        <v>723</v>
      </c>
      <c r="P307" s="11" t="s">
        <v>1959</v>
      </c>
      <c r="Q307" s="13" t="s">
        <v>1960</v>
      </c>
      <c r="R307" s="11" t="s">
        <v>1961</v>
      </c>
      <c r="S307" s="12" t="s">
        <v>33</v>
      </c>
      <c r="T307" s="11" t="str">
        <f t="shared" si="8"/>
        <v>-16.0832569</v>
      </c>
      <c r="U307" s="11" t="str">
        <f t="shared" si="9"/>
        <v>-47.9722313</v>
      </c>
    </row>
    <row r="308" spans="1:21">
      <c r="A308" s="11" t="s">
        <v>1962</v>
      </c>
      <c r="B308" s="11" t="s">
        <v>1963</v>
      </c>
      <c r="C308" s="11">
        <v>44527928000102</v>
      </c>
      <c r="E308" s="12" t="s">
        <v>23</v>
      </c>
      <c r="F308" s="12" t="s">
        <v>1964</v>
      </c>
      <c r="G308" s="11" t="s">
        <v>1965</v>
      </c>
      <c r="H308" s="11">
        <v>620</v>
      </c>
      <c r="I308" s="11" t="s">
        <v>1966</v>
      </c>
      <c r="J308" s="11">
        <v>61600040</v>
      </c>
      <c r="K308" s="11" t="s">
        <v>39</v>
      </c>
      <c r="L308" s="11" t="s">
        <v>1967</v>
      </c>
      <c r="M308" s="11" t="s">
        <v>354</v>
      </c>
      <c r="P308" s="11" t="s">
        <v>1968</v>
      </c>
      <c r="Q308" s="13" t="s">
        <v>1969</v>
      </c>
      <c r="R308" s="11" t="s">
        <v>1970</v>
      </c>
      <c r="S308" s="12" t="s">
        <v>33</v>
      </c>
      <c r="T308" s="11" t="str">
        <f t="shared" si="8"/>
        <v>-3.7342989</v>
      </c>
      <c r="U308" s="11" t="str">
        <f t="shared" si="9"/>
        <v>-38.6608237</v>
      </c>
    </row>
    <row r="309" spans="1:21">
      <c r="A309" s="11" t="s">
        <v>1971</v>
      </c>
      <c r="B309" s="11" t="s">
        <v>1972</v>
      </c>
      <c r="C309" s="11">
        <v>35972663000152</v>
      </c>
      <c r="E309" s="12" t="s">
        <v>23</v>
      </c>
      <c r="F309" s="12" t="s">
        <v>1973</v>
      </c>
      <c r="G309" s="11" t="s">
        <v>1974</v>
      </c>
      <c r="H309" s="11">
        <v>387</v>
      </c>
      <c r="I309" s="11" t="s">
        <v>1975</v>
      </c>
      <c r="J309" s="11">
        <v>63010222</v>
      </c>
      <c r="K309" s="11" t="s">
        <v>39</v>
      </c>
      <c r="L309" s="11" t="s">
        <v>353</v>
      </c>
      <c r="M309" s="11" t="s">
        <v>354</v>
      </c>
      <c r="P309" s="11" t="s">
        <v>1646</v>
      </c>
      <c r="Q309" s="13" t="s">
        <v>1647</v>
      </c>
      <c r="R309" s="11" t="s">
        <v>1648</v>
      </c>
      <c r="S309" s="12" t="s">
        <v>33</v>
      </c>
      <c r="T309" s="11" t="str">
        <f t="shared" si="8"/>
        <v>-7.2044509</v>
      </c>
      <c r="U309" s="11" t="str">
        <f t="shared" si="9"/>
        <v>-39.3143397</v>
      </c>
    </row>
    <row r="310" spans="1:21">
      <c r="A310" s="11" t="s">
        <v>1976</v>
      </c>
      <c r="B310" s="11" t="s">
        <v>1977</v>
      </c>
      <c r="C310" s="11">
        <v>52265902000153</v>
      </c>
      <c r="E310" s="12" t="s">
        <v>23</v>
      </c>
      <c r="F310" s="12" t="s">
        <v>1978</v>
      </c>
      <c r="G310" s="11" t="s">
        <v>1979</v>
      </c>
      <c r="H310" s="11">
        <v>35</v>
      </c>
      <c r="I310" s="11" t="s">
        <v>26</v>
      </c>
      <c r="J310" s="11">
        <v>28400000</v>
      </c>
      <c r="K310" s="11" t="s">
        <v>1980</v>
      </c>
      <c r="L310" s="11" t="s">
        <v>1981</v>
      </c>
      <c r="M310" s="11" t="s">
        <v>68</v>
      </c>
      <c r="P310" s="11" t="s">
        <v>1982</v>
      </c>
      <c r="Q310" s="13" t="s">
        <v>1983</v>
      </c>
      <c r="R310" s="11" t="s">
        <v>1984</v>
      </c>
      <c r="S310" s="12" t="s">
        <v>33</v>
      </c>
      <c r="T310" s="11" t="str">
        <f t="shared" si="8"/>
        <v>-21.6467054</v>
      </c>
      <c r="U310" s="11" t="str">
        <f t="shared" si="9"/>
        <v>-41.7463412</v>
      </c>
    </row>
    <row r="311" spans="1:21">
      <c r="P311" s="11"/>
    </row>
    <row r="312" spans="1:21">
      <c r="A312" s="11" t="s">
        <v>1985</v>
      </c>
      <c r="B312" s="11" t="s">
        <v>1986</v>
      </c>
      <c r="C312" s="11">
        <v>52294280000191</v>
      </c>
      <c r="E312" s="12" t="s">
        <v>23</v>
      </c>
      <c r="F312" s="12" t="s">
        <v>1987</v>
      </c>
      <c r="G312" s="11" t="s">
        <v>1988</v>
      </c>
      <c r="H312" s="11">
        <v>1711</v>
      </c>
      <c r="I312" s="11" t="s">
        <v>26</v>
      </c>
      <c r="J312" s="11">
        <v>50900660</v>
      </c>
      <c r="K312" s="11" t="s">
        <v>1989</v>
      </c>
      <c r="L312" s="11" t="s">
        <v>28</v>
      </c>
      <c r="M312" s="11" t="s">
        <v>29</v>
      </c>
      <c r="P312" s="11" t="s">
        <v>1990</v>
      </c>
      <c r="Q312" s="13" t="s">
        <v>1991</v>
      </c>
      <c r="R312" s="11" t="s">
        <v>1992</v>
      </c>
      <c r="S312" s="12" t="s">
        <v>33</v>
      </c>
      <c r="T312" s="11" t="str">
        <f t="shared" si="8"/>
        <v>-8.0928751</v>
      </c>
      <c r="U312" s="11" t="str">
        <f t="shared" si="9"/>
        <v>-34.9423554</v>
      </c>
    </row>
    <row r="313" spans="1:21">
      <c r="A313" s="11" t="s">
        <v>1993</v>
      </c>
      <c r="B313" s="11" t="s">
        <v>1994</v>
      </c>
      <c r="C313" s="11">
        <v>44377295000195</v>
      </c>
      <c r="E313" s="12" t="s">
        <v>23</v>
      </c>
      <c r="F313" s="12" t="s">
        <v>1995</v>
      </c>
      <c r="G313" s="11" t="s">
        <v>1996</v>
      </c>
      <c r="H313" s="11">
        <v>80</v>
      </c>
      <c r="I313" s="11" t="s">
        <v>1997</v>
      </c>
      <c r="J313" s="11">
        <v>11025200</v>
      </c>
      <c r="K313" s="11" t="s">
        <v>1998</v>
      </c>
      <c r="L313" s="11" t="s">
        <v>1999</v>
      </c>
      <c r="M313" s="11" t="s">
        <v>78</v>
      </c>
      <c r="P313" s="11" t="s">
        <v>2000</v>
      </c>
      <c r="Q313" s="13" t="s">
        <v>2001</v>
      </c>
      <c r="R313" s="11" t="s">
        <v>2002</v>
      </c>
      <c r="S313" s="12" t="s">
        <v>33</v>
      </c>
      <c r="T313" s="11" t="str">
        <f t="shared" si="8"/>
        <v>-23.9706908</v>
      </c>
      <c r="U313" s="11" t="str">
        <f t="shared" si="9"/>
        <v>-46.3055000</v>
      </c>
    </row>
    <row r="314" spans="1:21">
      <c r="A314" s="11" t="s">
        <v>2003</v>
      </c>
      <c r="B314" s="11" t="s">
        <v>2004</v>
      </c>
      <c r="C314" s="11">
        <v>42179797000186</v>
      </c>
      <c r="E314" s="12" t="s">
        <v>23</v>
      </c>
      <c r="F314" s="12" t="s">
        <v>2005</v>
      </c>
      <c r="G314" s="11" t="s">
        <v>2006</v>
      </c>
      <c r="H314" s="11">
        <v>2300</v>
      </c>
      <c r="I314" s="11" t="s">
        <v>1997</v>
      </c>
      <c r="J314" s="11">
        <v>96015140</v>
      </c>
      <c r="K314" s="11" t="s">
        <v>39</v>
      </c>
      <c r="L314" s="11" t="s">
        <v>2007</v>
      </c>
      <c r="M314" s="11" t="s">
        <v>535</v>
      </c>
      <c r="P314" s="11" t="s">
        <v>2008</v>
      </c>
      <c r="Q314" s="13" t="s">
        <v>2009</v>
      </c>
      <c r="R314" s="11" t="s">
        <v>2010</v>
      </c>
      <c r="S314" s="12" t="s">
        <v>33</v>
      </c>
      <c r="T314" s="11" t="str">
        <f t="shared" si="8"/>
        <v>-31.7631353</v>
      </c>
      <c r="U314" s="11" t="str">
        <f t="shared" si="9"/>
        <v>-52.3330270</v>
      </c>
    </row>
    <row r="315" spans="1:21">
      <c r="A315" s="11" t="s">
        <v>2011</v>
      </c>
      <c r="B315" s="11" t="s">
        <v>2012</v>
      </c>
      <c r="C315" s="11">
        <v>52354307000194</v>
      </c>
      <c r="E315" s="12" t="s">
        <v>23</v>
      </c>
      <c r="F315" s="12" t="s">
        <v>2013</v>
      </c>
      <c r="G315" s="11" t="s">
        <v>2014</v>
      </c>
      <c r="H315" s="11">
        <v>273</v>
      </c>
      <c r="I315" s="11" t="s">
        <v>2015</v>
      </c>
      <c r="J315" s="11">
        <v>54280484</v>
      </c>
      <c r="K315" s="11" t="s">
        <v>2016</v>
      </c>
      <c r="L315" s="11" t="s">
        <v>122</v>
      </c>
      <c r="M315" s="11" t="s">
        <v>29</v>
      </c>
      <c r="P315" s="11" t="s">
        <v>2017</v>
      </c>
      <c r="Q315" s="13" t="s">
        <v>2018</v>
      </c>
      <c r="R315" s="11" t="s">
        <v>2019</v>
      </c>
      <c r="S315" s="12" t="s">
        <v>33</v>
      </c>
      <c r="T315" s="11" t="str">
        <f t="shared" si="8"/>
        <v>-8.1185562</v>
      </c>
      <c r="U315" s="11" t="str">
        <f t="shared" si="9"/>
        <v>-34.9689855</v>
      </c>
    </row>
    <row r="316" spans="1:21">
      <c r="P316" s="11"/>
    </row>
    <row r="317" spans="1:21">
      <c r="A317" s="11" t="s">
        <v>2020</v>
      </c>
      <c r="B317" s="11" t="s">
        <v>1069</v>
      </c>
      <c r="C317" s="11">
        <v>47976040000137</v>
      </c>
      <c r="E317" s="12" t="s">
        <v>23</v>
      </c>
      <c r="F317" s="12" t="s">
        <v>1070</v>
      </c>
      <c r="G317" s="11" t="s">
        <v>1071</v>
      </c>
      <c r="H317" s="11" t="s">
        <v>129</v>
      </c>
      <c r="I317" s="11" t="s">
        <v>26</v>
      </c>
      <c r="J317" s="11">
        <v>64025010</v>
      </c>
      <c r="K317" s="11" t="s">
        <v>927</v>
      </c>
      <c r="L317" s="11" t="s">
        <v>390</v>
      </c>
      <c r="M317" s="11" t="s">
        <v>391</v>
      </c>
      <c r="P317" s="11" t="s">
        <v>1072</v>
      </c>
      <c r="Q317" s="13">
        <v>-4.9944262999999998</v>
      </c>
      <c r="R317" s="11">
        <v>-42.831580299999999</v>
      </c>
      <c r="S317" s="12" t="s">
        <v>70</v>
      </c>
      <c r="T317" s="11" t="str">
        <f t="shared" si="8"/>
        <v>-4.9944263</v>
      </c>
      <c r="U317" s="11" t="str">
        <f t="shared" si="9"/>
        <v>-42.8315803</v>
      </c>
    </row>
    <row r="318" spans="1:21">
      <c r="A318" s="11" t="s">
        <v>2021</v>
      </c>
      <c r="B318" s="11" t="s">
        <v>461</v>
      </c>
      <c r="C318" s="11">
        <v>42991518000184</v>
      </c>
      <c r="E318" s="12" t="s">
        <v>23</v>
      </c>
      <c r="F318" s="12" t="s">
        <v>302</v>
      </c>
      <c r="G318" s="11" t="s">
        <v>463</v>
      </c>
      <c r="H318" s="11">
        <v>3840</v>
      </c>
      <c r="I318" s="11" t="s">
        <v>1010</v>
      </c>
      <c r="J318" s="11">
        <v>60840285</v>
      </c>
      <c r="K318" s="11" t="s">
        <v>465</v>
      </c>
      <c r="L318" s="11" t="s">
        <v>437</v>
      </c>
      <c r="M318" s="11" t="s">
        <v>354</v>
      </c>
      <c r="P318" s="11" t="s">
        <v>466</v>
      </c>
      <c r="Q318" s="13" t="s">
        <v>467</v>
      </c>
      <c r="R318" s="11" t="s">
        <v>468</v>
      </c>
      <c r="S318" s="12" t="s">
        <v>33</v>
      </c>
      <c r="T318" s="11" t="str">
        <f t="shared" si="8"/>
        <v>-3.8196177</v>
      </c>
      <c r="U318" s="11" t="str">
        <f t="shared" si="9"/>
        <v>-38.4963629</v>
      </c>
    </row>
    <row r="319" spans="1:21">
      <c r="A319" s="11" t="s">
        <v>2022</v>
      </c>
      <c r="B319" s="11" t="s">
        <v>2023</v>
      </c>
      <c r="C319" s="11">
        <v>52067765000142</v>
      </c>
      <c r="E319" s="12" t="s">
        <v>23</v>
      </c>
      <c r="F319" s="12" t="s">
        <v>302</v>
      </c>
      <c r="G319" s="11" t="s">
        <v>212</v>
      </c>
      <c r="H319" s="11">
        <v>254</v>
      </c>
      <c r="I319" s="11" t="s">
        <v>473</v>
      </c>
      <c r="J319" s="11">
        <v>59148340</v>
      </c>
      <c r="K319" s="11" t="s">
        <v>213</v>
      </c>
      <c r="L319" s="11" t="s">
        <v>214</v>
      </c>
      <c r="M319" s="11" t="s">
        <v>215</v>
      </c>
      <c r="P319" s="11" t="s">
        <v>216</v>
      </c>
      <c r="Q319" s="13" t="s">
        <v>217</v>
      </c>
      <c r="R319" s="11" t="s">
        <v>218</v>
      </c>
      <c r="S319" s="12" t="s">
        <v>33</v>
      </c>
      <c r="T319" s="11" t="str">
        <f t="shared" si="8"/>
        <v>-5.8927682</v>
      </c>
      <c r="U319" s="11" t="str">
        <f t="shared" si="9"/>
        <v>-35.2339711</v>
      </c>
    </row>
    <row r="320" spans="1:21">
      <c r="A320" s="11" t="s">
        <v>2024</v>
      </c>
      <c r="B320" s="11" t="s">
        <v>2023</v>
      </c>
      <c r="C320" s="11">
        <v>52067765000142</v>
      </c>
      <c r="E320" s="12" t="s">
        <v>23</v>
      </c>
      <c r="F320" s="12" t="s">
        <v>302</v>
      </c>
      <c r="G320" s="11" t="s">
        <v>2025</v>
      </c>
      <c r="H320" s="11">
        <v>19</v>
      </c>
      <c r="I320" s="11" t="s">
        <v>26</v>
      </c>
      <c r="J320" s="11">
        <v>58411116</v>
      </c>
      <c r="K320" s="11" t="s">
        <v>2026</v>
      </c>
      <c r="L320" s="11" t="s">
        <v>186</v>
      </c>
      <c r="M320" s="11" t="s">
        <v>187</v>
      </c>
      <c r="P320" s="11" t="s">
        <v>2027</v>
      </c>
      <c r="Q320" s="13">
        <v>-7.2510574999999999</v>
      </c>
      <c r="R320" s="11">
        <v>-35.882142600000002</v>
      </c>
      <c r="S320" s="12" t="s">
        <v>70</v>
      </c>
      <c r="T320" s="11" t="str">
        <f t="shared" si="8"/>
        <v>-7.2510575</v>
      </c>
      <c r="U320" s="11" t="str">
        <f t="shared" si="9"/>
        <v>-35.8821426</v>
      </c>
    </row>
    <row r="321" spans="1:21">
      <c r="A321" s="11" t="s">
        <v>2028</v>
      </c>
      <c r="B321" s="11" t="s">
        <v>2023</v>
      </c>
      <c r="C321" s="11">
        <v>52067765000142</v>
      </c>
      <c r="E321" s="12" t="s">
        <v>23</v>
      </c>
      <c r="F321" s="12" t="s">
        <v>302</v>
      </c>
      <c r="G321" s="11" t="s">
        <v>2025</v>
      </c>
      <c r="H321" s="11">
        <v>19</v>
      </c>
      <c r="I321" s="11" t="s">
        <v>26</v>
      </c>
      <c r="J321" s="11">
        <v>58411116</v>
      </c>
      <c r="K321" s="11" t="s">
        <v>2026</v>
      </c>
      <c r="L321" s="11" t="s">
        <v>186</v>
      </c>
      <c r="M321" s="11" t="s">
        <v>187</v>
      </c>
      <c r="P321" s="11" t="s">
        <v>2027</v>
      </c>
      <c r="Q321" s="13">
        <v>-7.2510574999999999</v>
      </c>
      <c r="R321" s="11">
        <v>-35.882142600000002</v>
      </c>
      <c r="S321" s="12" t="s">
        <v>70</v>
      </c>
      <c r="T321" s="11" t="str">
        <f t="shared" si="8"/>
        <v>-7.2510575</v>
      </c>
      <c r="U321" s="11" t="str">
        <f t="shared" si="9"/>
        <v>-35.8821426</v>
      </c>
    </row>
    <row r="322" spans="1:21">
      <c r="A322" s="11" t="s">
        <v>2029</v>
      </c>
      <c r="B322" s="11" t="s">
        <v>2030</v>
      </c>
      <c r="C322" s="11">
        <v>52363650000103</v>
      </c>
      <c r="E322" s="12" t="s">
        <v>23</v>
      </c>
      <c r="F322" s="12" t="s">
        <v>2031</v>
      </c>
      <c r="G322" s="11" t="s">
        <v>2032</v>
      </c>
      <c r="H322" s="11">
        <v>517</v>
      </c>
      <c r="I322" s="11" t="s">
        <v>26</v>
      </c>
      <c r="J322" s="11">
        <v>56170000</v>
      </c>
      <c r="K322" s="11" t="s">
        <v>39</v>
      </c>
      <c r="L322" s="11" t="s">
        <v>2033</v>
      </c>
      <c r="M322" s="11" t="s">
        <v>29</v>
      </c>
      <c r="P322" s="11" t="s">
        <v>2034</v>
      </c>
      <c r="Q322" s="13">
        <v>-8.5533300000000008</v>
      </c>
      <c r="R322" s="11">
        <v>-39.463329999999999</v>
      </c>
      <c r="S322" s="12" t="s">
        <v>70</v>
      </c>
      <c r="T322" s="11" t="str">
        <f t="shared" ref="T322:T385" si="10">SUBSTITUTE(Q:Q,",",".")</f>
        <v>-8.55333</v>
      </c>
      <c r="U322" s="11" t="str">
        <f t="shared" ref="U322:U385" si="11">SUBSTITUTE(R:R,",",".")</f>
        <v>-39.46333</v>
      </c>
    </row>
    <row r="323" spans="1:21">
      <c r="A323" s="11" t="s">
        <v>2035</v>
      </c>
      <c r="B323" s="11" t="s">
        <v>2036</v>
      </c>
      <c r="C323" s="11">
        <v>45244638000297</v>
      </c>
      <c r="E323" s="12" t="s">
        <v>23</v>
      </c>
      <c r="F323" s="12" t="s">
        <v>904</v>
      </c>
      <c r="G323" s="11" t="s">
        <v>2037</v>
      </c>
      <c r="H323" s="11">
        <v>909</v>
      </c>
      <c r="I323" s="11" t="s">
        <v>2038</v>
      </c>
      <c r="J323" s="11">
        <v>21210623</v>
      </c>
      <c r="K323" s="11" t="s">
        <v>2039</v>
      </c>
      <c r="L323" s="11" t="s">
        <v>313</v>
      </c>
      <c r="M323" s="11" t="s">
        <v>68</v>
      </c>
      <c r="P323" s="11" t="s">
        <v>2040</v>
      </c>
      <c r="Q323" s="13" t="s">
        <v>2041</v>
      </c>
      <c r="R323" s="11" t="s">
        <v>2042</v>
      </c>
      <c r="S323" s="12" t="s">
        <v>33</v>
      </c>
      <c r="T323" s="11" t="str">
        <f t="shared" si="10"/>
        <v>-22.8488011</v>
      </c>
      <c r="U323" s="11" t="str">
        <f t="shared" si="11"/>
        <v>-43.3068036</v>
      </c>
    </row>
    <row r="324" spans="1:21">
      <c r="A324" s="11" t="s">
        <v>2043</v>
      </c>
      <c r="B324" s="11" t="s">
        <v>2044</v>
      </c>
      <c r="C324" s="11">
        <v>38005903000219</v>
      </c>
      <c r="E324" s="12" t="s">
        <v>23</v>
      </c>
      <c r="F324" s="12" t="s">
        <v>2045</v>
      </c>
      <c r="G324" s="11" t="s">
        <v>2046</v>
      </c>
      <c r="H324" s="11">
        <v>164</v>
      </c>
      <c r="I324" s="11" t="s">
        <v>286</v>
      </c>
      <c r="J324" s="11">
        <v>38402158</v>
      </c>
      <c r="K324" s="11" t="s">
        <v>2047</v>
      </c>
      <c r="L324" s="11" t="s">
        <v>2048</v>
      </c>
      <c r="M324" s="11" t="s">
        <v>404</v>
      </c>
      <c r="P324" s="11" t="s">
        <v>2049</v>
      </c>
      <c r="Q324" s="13" t="s">
        <v>2050</v>
      </c>
      <c r="R324" s="11" t="s">
        <v>2051</v>
      </c>
      <c r="S324" s="12" t="s">
        <v>33</v>
      </c>
      <c r="T324" s="11" t="str">
        <f t="shared" si="10"/>
        <v>-18.8684728</v>
      </c>
      <c r="U324" s="11" t="str">
        <f t="shared" si="11"/>
        <v>-48.2841997</v>
      </c>
    </row>
    <row r="325" spans="1:21">
      <c r="A325" s="11" t="s">
        <v>2052</v>
      </c>
      <c r="B325" s="11" t="s">
        <v>2053</v>
      </c>
      <c r="C325" s="11">
        <v>52457260000194</v>
      </c>
      <c r="E325" s="12" t="s">
        <v>23</v>
      </c>
      <c r="F325" s="12" t="s">
        <v>2054</v>
      </c>
      <c r="G325" s="11" t="s">
        <v>2055</v>
      </c>
      <c r="H325" s="11">
        <v>200</v>
      </c>
      <c r="I325" s="11" t="s">
        <v>26</v>
      </c>
      <c r="J325" s="11">
        <v>60863503</v>
      </c>
      <c r="K325" s="11" t="s">
        <v>2056</v>
      </c>
      <c r="L325" s="11" t="s">
        <v>437</v>
      </c>
      <c r="M325" s="11" t="s">
        <v>354</v>
      </c>
      <c r="P325" s="11" t="s">
        <v>2057</v>
      </c>
      <c r="Q325" s="13">
        <v>-3.8289129000000002</v>
      </c>
      <c r="R325" s="11">
        <v>-38.522819499999997</v>
      </c>
      <c r="S325" s="12" t="s">
        <v>70</v>
      </c>
      <c r="T325" s="11" t="str">
        <f t="shared" si="10"/>
        <v>-3.8289129</v>
      </c>
      <c r="U325" s="11" t="str">
        <f t="shared" si="11"/>
        <v>-38.5228195</v>
      </c>
    </row>
    <row r="326" spans="1:21">
      <c r="P326" s="11"/>
    </row>
    <row r="327" spans="1:21">
      <c r="A327" s="11" t="s">
        <v>2058</v>
      </c>
      <c r="B327" s="11" t="s">
        <v>2059</v>
      </c>
      <c r="C327" s="11">
        <v>52475066000131</v>
      </c>
      <c r="E327" s="12" t="s">
        <v>23</v>
      </c>
      <c r="F327" s="12" t="s">
        <v>2060</v>
      </c>
      <c r="G327" s="11" t="s">
        <v>2061</v>
      </c>
      <c r="H327" s="11">
        <v>3</v>
      </c>
      <c r="I327" s="11" t="s">
        <v>286</v>
      </c>
      <c r="J327" s="11">
        <v>65074857</v>
      </c>
      <c r="K327" s="11" t="s">
        <v>2062</v>
      </c>
      <c r="L327" s="11" t="s">
        <v>511</v>
      </c>
      <c r="M327" s="11" t="s">
        <v>281</v>
      </c>
      <c r="P327" s="11" t="s">
        <v>2063</v>
      </c>
      <c r="Q327" s="13">
        <v>-2.5056704000000001</v>
      </c>
      <c r="R327" s="11">
        <v>-44.256812500000002</v>
      </c>
      <c r="S327" s="12" t="s">
        <v>70</v>
      </c>
      <c r="T327" s="11" t="str">
        <f t="shared" si="10"/>
        <v>-2.5056704</v>
      </c>
      <c r="U327" s="11" t="str">
        <f t="shared" si="11"/>
        <v>-44.2568125</v>
      </c>
    </row>
    <row r="328" spans="1:21">
      <c r="A328" s="11" t="s">
        <v>2064</v>
      </c>
      <c r="B328" s="11" t="s">
        <v>738</v>
      </c>
      <c r="C328" s="11">
        <v>45313081000541</v>
      </c>
      <c r="E328" s="12" t="s">
        <v>23</v>
      </c>
      <c r="F328" s="12" t="s">
        <v>2065</v>
      </c>
      <c r="G328" s="11" t="s">
        <v>2066</v>
      </c>
      <c r="H328" s="11">
        <v>240</v>
      </c>
      <c r="I328" s="11" t="s">
        <v>2067</v>
      </c>
      <c r="J328" s="11">
        <v>21820005</v>
      </c>
      <c r="K328" s="11" t="s">
        <v>2068</v>
      </c>
      <c r="L328" s="11" t="s">
        <v>313</v>
      </c>
      <c r="M328" s="11" t="s">
        <v>68</v>
      </c>
      <c r="P328" s="11" t="s">
        <v>2069</v>
      </c>
      <c r="Q328" s="13" t="s">
        <v>2070</v>
      </c>
      <c r="R328" s="11" t="s">
        <v>2071</v>
      </c>
      <c r="S328" s="12" t="s">
        <v>33</v>
      </c>
      <c r="T328" s="11" t="str">
        <f t="shared" si="10"/>
        <v>-22.8779797</v>
      </c>
      <c r="U328" s="11" t="str">
        <f t="shared" si="11"/>
        <v>-43.4655680</v>
      </c>
    </row>
    <row r="329" spans="1:21">
      <c r="A329" s="11" t="s">
        <v>2072</v>
      </c>
      <c r="B329" s="11" t="s">
        <v>2073</v>
      </c>
      <c r="C329" s="11">
        <v>32950536000598</v>
      </c>
      <c r="E329" s="12" t="s">
        <v>23</v>
      </c>
      <c r="F329" s="12" t="s">
        <v>2074</v>
      </c>
      <c r="G329" s="11" t="s">
        <v>2075</v>
      </c>
      <c r="H329" s="11">
        <v>555</v>
      </c>
      <c r="I329" s="11" t="s">
        <v>2076</v>
      </c>
      <c r="J329" s="11">
        <v>54759475</v>
      </c>
      <c r="K329" s="11" t="s">
        <v>2077</v>
      </c>
      <c r="L329" s="11" t="s">
        <v>2078</v>
      </c>
      <c r="M329" s="11" t="s">
        <v>29</v>
      </c>
      <c r="P329" s="11" t="s">
        <v>2079</v>
      </c>
      <c r="Q329" s="13" t="s">
        <v>2080</v>
      </c>
      <c r="R329" s="11" t="s">
        <v>2081</v>
      </c>
      <c r="S329" s="12" t="s">
        <v>33</v>
      </c>
      <c r="T329" s="11" t="str">
        <f t="shared" si="10"/>
        <v>-8.0141245</v>
      </c>
      <c r="U329" s="11" t="str">
        <f t="shared" si="11"/>
        <v>-34.9733432</v>
      </c>
    </row>
    <row r="330" spans="1:21">
      <c r="A330" s="11" t="s">
        <v>2082</v>
      </c>
      <c r="B330" s="11" t="s">
        <v>2083</v>
      </c>
      <c r="C330" s="11">
        <v>51844115000101</v>
      </c>
      <c r="E330" s="12" t="s">
        <v>23</v>
      </c>
      <c r="F330" s="12" t="s">
        <v>310</v>
      </c>
      <c r="G330" s="11" t="s">
        <v>2084</v>
      </c>
      <c r="H330" s="11">
        <v>53</v>
      </c>
      <c r="I330" s="11" t="s">
        <v>26</v>
      </c>
      <c r="J330" s="11">
        <v>23510010</v>
      </c>
      <c r="K330" s="11" t="s">
        <v>290</v>
      </c>
      <c r="L330" s="11" t="s">
        <v>313</v>
      </c>
      <c r="M330" s="11" t="s">
        <v>68</v>
      </c>
      <c r="P330" s="11" t="s">
        <v>2085</v>
      </c>
      <c r="Q330" s="13" t="s">
        <v>2086</v>
      </c>
      <c r="R330" s="11" t="s">
        <v>2087</v>
      </c>
      <c r="S330" s="12" t="s">
        <v>33</v>
      </c>
      <c r="T330" s="11" t="str">
        <f t="shared" si="10"/>
        <v>-22.9156225</v>
      </c>
      <c r="U330" s="11" t="str">
        <f t="shared" si="11"/>
        <v>-43.6804076</v>
      </c>
    </row>
    <row r="331" spans="1:21">
      <c r="A331" s="11" t="s">
        <v>2088</v>
      </c>
      <c r="B331" s="11" t="s">
        <v>1994</v>
      </c>
      <c r="C331" s="11">
        <v>44377295000195</v>
      </c>
      <c r="E331" s="12" t="s">
        <v>23</v>
      </c>
      <c r="F331" s="12" t="s">
        <v>1995</v>
      </c>
      <c r="G331" s="11" t="s">
        <v>1996</v>
      </c>
      <c r="H331" s="11">
        <v>80</v>
      </c>
      <c r="I331" s="11" t="s">
        <v>26</v>
      </c>
      <c r="J331" s="11">
        <v>11025200</v>
      </c>
      <c r="K331" s="11" t="s">
        <v>1998</v>
      </c>
      <c r="L331" s="11" t="s">
        <v>1999</v>
      </c>
      <c r="M331" s="11" t="s">
        <v>78</v>
      </c>
      <c r="P331" s="11" t="s">
        <v>2000</v>
      </c>
      <c r="Q331" s="13" t="s">
        <v>2001</v>
      </c>
      <c r="R331" s="11" t="s">
        <v>2002</v>
      </c>
      <c r="S331" s="12" t="s">
        <v>33</v>
      </c>
      <c r="T331" s="11" t="str">
        <f t="shared" si="10"/>
        <v>-23.9706908</v>
      </c>
      <c r="U331" s="11" t="str">
        <f t="shared" si="11"/>
        <v>-46.3055000</v>
      </c>
    </row>
    <row r="332" spans="1:21">
      <c r="A332" s="11" t="s">
        <v>2089</v>
      </c>
      <c r="B332" s="11" t="s">
        <v>2090</v>
      </c>
      <c r="C332" s="11">
        <v>47649386000120</v>
      </c>
      <c r="E332" s="12" t="s">
        <v>23</v>
      </c>
      <c r="F332" s="12" t="s">
        <v>2091</v>
      </c>
      <c r="G332" s="11" t="s">
        <v>2092</v>
      </c>
      <c r="H332" s="11">
        <v>5525</v>
      </c>
      <c r="I332" s="11" t="s">
        <v>1997</v>
      </c>
      <c r="J332" s="11">
        <v>35930003</v>
      </c>
      <c r="K332" s="11" t="s">
        <v>2093</v>
      </c>
      <c r="L332" s="11" t="s">
        <v>2094</v>
      </c>
      <c r="M332" s="11" t="s">
        <v>404</v>
      </c>
      <c r="P332" s="11" t="s">
        <v>2095</v>
      </c>
      <c r="Q332" s="13" t="s">
        <v>2096</v>
      </c>
      <c r="R332" s="11" t="s">
        <v>2097</v>
      </c>
      <c r="S332" s="12" t="s">
        <v>33</v>
      </c>
      <c r="T332" s="11" t="str">
        <f t="shared" si="10"/>
        <v>-19.8080185</v>
      </c>
      <c r="U332" s="11" t="str">
        <f t="shared" si="11"/>
        <v>-43.1767179</v>
      </c>
    </row>
    <row r="333" spans="1:21">
      <c r="A333" s="11" t="s">
        <v>2098</v>
      </c>
      <c r="B333" s="11" t="s">
        <v>262</v>
      </c>
      <c r="C333" s="11">
        <v>31445469000168</v>
      </c>
      <c r="E333" s="12" t="s">
        <v>23</v>
      </c>
      <c r="F333" s="12" t="s">
        <v>263</v>
      </c>
      <c r="G333" s="11" t="s">
        <v>2099</v>
      </c>
      <c r="H333" s="11">
        <v>58</v>
      </c>
      <c r="I333" s="11" t="s">
        <v>26</v>
      </c>
      <c r="J333" s="11">
        <v>55340000</v>
      </c>
      <c r="K333" s="11" t="s">
        <v>39</v>
      </c>
      <c r="L333" s="11" t="s">
        <v>2100</v>
      </c>
      <c r="M333" s="11" t="s">
        <v>29</v>
      </c>
      <c r="P333" s="11" t="s">
        <v>2101</v>
      </c>
      <c r="Q333" s="13" t="s">
        <v>2102</v>
      </c>
      <c r="R333" s="11" t="s">
        <v>2103</v>
      </c>
      <c r="S333" s="12" t="s">
        <v>33</v>
      </c>
      <c r="T333" s="11" t="str">
        <f t="shared" si="10"/>
        <v>-9.1113156</v>
      </c>
      <c r="U333" s="11" t="str">
        <f t="shared" si="11"/>
        <v>-37.1225218</v>
      </c>
    </row>
    <row r="334" spans="1:21">
      <c r="A334" s="11" t="s">
        <v>2104</v>
      </c>
      <c r="B334" s="11" t="s">
        <v>2105</v>
      </c>
      <c r="C334" s="11">
        <v>51543904000102</v>
      </c>
      <c r="E334" s="12" t="s">
        <v>23</v>
      </c>
      <c r="F334" s="12" t="s">
        <v>310</v>
      </c>
      <c r="G334" s="11" t="s">
        <v>2106</v>
      </c>
      <c r="H334" s="11">
        <v>100</v>
      </c>
      <c r="I334" s="11" t="s">
        <v>26</v>
      </c>
      <c r="J334" s="11">
        <v>23052090</v>
      </c>
      <c r="K334" s="11" t="s">
        <v>1198</v>
      </c>
      <c r="L334" s="11" t="s">
        <v>313</v>
      </c>
      <c r="M334" s="11" t="s">
        <v>68</v>
      </c>
      <c r="P334" s="11" t="s">
        <v>2107</v>
      </c>
      <c r="Q334" s="13" t="s">
        <v>2108</v>
      </c>
      <c r="R334" s="11" t="s">
        <v>2109</v>
      </c>
      <c r="S334" s="12" t="s">
        <v>33</v>
      </c>
      <c r="T334" s="11" t="str">
        <f t="shared" si="10"/>
        <v>-22.9026271</v>
      </c>
      <c r="U334" s="11" t="str">
        <f t="shared" si="11"/>
        <v>-43.5539142</v>
      </c>
    </row>
    <row r="335" spans="1:21">
      <c r="A335" s="11" t="s">
        <v>2110</v>
      </c>
      <c r="B335" s="11" t="s">
        <v>2111</v>
      </c>
      <c r="C335" s="11">
        <v>52464646000123</v>
      </c>
      <c r="E335" s="12" t="s">
        <v>23</v>
      </c>
      <c r="F335" s="12" t="s">
        <v>2112</v>
      </c>
      <c r="G335" s="11" t="s">
        <v>2113</v>
      </c>
      <c r="H335" s="11" t="s">
        <v>2114</v>
      </c>
      <c r="I335" s="11" t="s">
        <v>2115</v>
      </c>
      <c r="J335" s="11">
        <v>49200000</v>
      </c>
      <c r="K335" s="11" t="s">
        <v>2116</v>
      </c>
      <c r="L335" s="11" t="s">
        <v>2117</v>
      </c>
      <c r="M335" s="11" t="s">
        <v>49</v>
      </c>
      <c r="P335" s="11" t="s">
        <v>2118</v>
      </c>
      <c r="Q335" s="13" t="s">
        <v>2119</v>
      </c>
      <c r="R335" s="11" t="s">
        <v>2120</v>
      </c>
      <c r="S335" s="12" t="s">
        <v>33</v>
      </c>
      <c r="T335" s="11" t="str">
        <f t="shared" si="10"/>
        <v>-11.2682255</v>
      </c>
      <c r="U335" s="11" t="str">
        <f t="shared" si="11"/>
        <v>-37.4378341</v>
      </c>
    </row>
    <row r="336" spans="1:21">
      <c r="A336" s="11" t="s">
        <v>2121</v>
      </c>
      <c r="B336" s="11" t="s">
        <v>965</v>
      </c>
      <c r="C336" s="11">
        <v>34046647000176</v>
      </c>
      <c r="E336" s="12" t="s">
        <v>23</v>
      </c>
      <c r="F336" s="12" t="s">
        <v>2122</v>
      </c>
      <c r="G336" s="11" t="s">
        <v>2123</v>
      </c>
      <c r="H336" s="11" t="s">
        <v>968</v>
      </c>
      <c r="I336" s="11" t="s">
        <v>286</v>
      </c>
      <c r="J336" s="11">
        <v>68385000</v>
      </c>
      <c r="K336" s="11" t="s">
        <v>969</v>
      </c>
      <c r="L336" s="11" t="s">
        <v>970</v>
      </c>
      <c r="M336" s="11" t="s">
        <v>225</v>
      </c>
      <c r="P336" s="11" t="s">
        <v>971</v>
      </c>
      <c r="Q336" s="13" t="s">
        <v>972</v>
      </c>
      <c r="R336" s="11" t="s">
        <v>973</v>
      </c>
      <c r="S336" s="12" t="s">
        <v>33</v>
      </c>
      <c r="T336" s="11" t="str">
        <f t="shared" si="10"/>
        <v>-6.7517239</v>
      </c>
      <c r="U336" s="11" t="str">
        <f t="shared" si="11"/>
        <v>-51.1507941</v>
      </c>
    </row>
    <row r="337" spans="1:21">
      <c r="A337" s="11" t="s">
        <v>2124</v>
      </c>
      <c r="B337" s="11" t="s">
        <v>2125</v>
      </c>
      <c r="C337" s="11">
        <v>51203395000160</v>
      </c>
      <c r="E337" s="12" t="s">
        <v>23</v>
      </c>
      <c r="F337" s="12" t="s">
        <v>302</v>
      </c>
      <c r="G337" s="11" t="s">
        <v>2126</v>
      </c>
      <c r="H337" s="11">
        <v>1300</v>
      </c>
      <c r="I337" s="11" t="s">
        <v>978</v>
      </c>
      <c r="J337" s="11">
        <v>58200000</v>
      </c>
      <c r="K337" s="11" t="s">
        <v>2127</v>
      </c>
      <c r="L337" s="11" t="s">
        <v>2128</v>
      </c>
      <c r="M337" s="11" t="s">
        <v>187</v>
      </c>
      <c r="P337" s="11" t="s">
        <v>2129</v>
      </c>
      <c r="Q337" s="13" t="s">
        <v>2130</v>
      </c>
      <c r="R337" s="11">
        <v>-35.4915582</v>
      </c>
      <c r="S337" s="12" t="s">
        <v>33</v>
      </c>
      <c r="T337" s="11" t="str">
        <f t="shared" si="10"/>
        <v>-6.8513982</v>
      </c>
      <c r="U337" s="11" t="str">
        <f t="shared" si="11"/>
        <v>-35.4915582</v>
      </c>
    </row>
    <row r="338" spans="1:21">
      <c r="A338" s="11" t="s">
        <v>2131</v>
      </c>
      <c r="B338" s="11" t="s">
        <v>2132</v>
      </c>
      <c r="C338" s="11">
        <v>47831036000180</v>
      </c>
      <c r="E338" s="12" t="s">
        <v>23</v>
      </c>
      <c r="F338" s="12" t="s">
        <v>2133</v>
      </c>
      <c r="G338" s="11" t="s">
        <v>2134</v>
      </c>
      <c r="H338" s="11">
        <v>918</v>
      </c>
      <c r="I338" s="11" t="s">
        <v>2135</v>
      </c>
      <c r="J338" s="11">
        <v>68907140</v>
      </c>
      <c r="K338" s="11" t="s">
        <v>2136</v>
      </c>
      <c r="L338" s="11" t="s">
        <v>256</v>
      </c>
      <c r="M338" s="11" t="s">
        <v>257</v>
      </c>
      <c r="P338" s="11" t="s">
        <v>2137</v>
      </c>
      <c r="Q338" s="13" t="s">
        <v>2138</v>
      </c>
      <c r="R338" s="11" t="s">
        <v>2139</v>
      </c>
      <c r="S338" s="12" t="s">
        <v>33</v>
      </c>
      <c r="T338" s="11" t="str">
        <f t="shared" si="10"/>
        <v>0.0784384</v>
      </c>
      <c r="U338" s="11" t="str">
        <f t="shared" si="11"/>
        <v>-51.0524157</v>
      </c>
    </row>
    <row r="339" spans="1:21">
      <c r="A339" s="11" t="s">
        <v>2140</v>
      </c>
      <c r="B339" s="11" t="s">
        <v>2141</v>
      </c>
      <c r="C339" s="11">
        <v>52486649000168</v>
      </c>
      <c r="E339" s="12" t="s">
        <v>23</v>
      </c>
      <c r="F339" s="12" t="s">
        <v>2142</v>
      </c>
      <c r="G339" s="11" t="s">
        <v>2143</v>
      </c>
      <c r="H339" s="11">
        <v>500</v>
      </c>
      <c r="I339" s="11" t="s">
        <v>2144</v>
      </c>
      <c r="J339" s="11">
        <v>33113010</v>
      </c>
      <c r="K339" s="11" t="s">
        <v>2145</v>
      </c>
      <c r="L339" s="11" t="s">
        <v>2146</v>
      </c>
      <c r="M339" s="11" t="s">
        <v>404</v>
      </c>
      <c r="P339" s="11" t="s">
        <v>2147</v>
      </c>
      <c r="Q339" s="13" t="s">
        <v>2148</v>
      </c>
      <c r="R339" s="11" t="s">
        <v>2149</v>
      </c>
      <c r="S339" s="12" t="s">
        <v>33</v>
      </c>
      <c r="T339" s="11" t="str">
        <f t="shared" si="10"/>
        <v>-19.7727882</v>
      </c>
      <c r="U339" s="11" t="str">
        <f t="shared" si="11"/>
        <v>-43.9174993</v>
      </c>
    </row>
    <row r="340" spans="1:21">
      <c r="A340" s="11" t="s">
        <v>2150</v>
      </c>
      <c r="B340" s="11" t="s">
        <v>2151</v>
      </c>
      <c r="C340" s="11">
        <v>48721606000142</v>
      </c>
      <c r="E340" s="12" t="s">
        <v>23</v>
      </c>
      <c r="F340" s="12" t="s">
        <v>2152</v>
      </c>
      <c r="G340" s="11" t="s">
        <v>2153</v>
      </c>
      <c r="H340" s="11">
        <v>88</v>
      </c>
      <c r="I340" s="11" t="s">
        <v>2154</v>
      </c>
      <c r="J340" s="11">
        <v>53300190</v>
      </c>
      <c r="K340" s="11" t="s">
        <v>2155</v>
      </c>
      <c r="L340" s="11" t="s">
        <v>553</v>
      </c>
      <c r="M340" s="11" t="s">
        <v>29</v>
      </c>
      <c r="P340" s="11" t="s">
        <v>2156</v>
      </c>
      <c r="Q340" s="13">
        <v>-8.0025162999999999</v>
      </c>
      <c r="R340" s="11">
        <v>-34.871552999999999</v>
      </c>
      <c r="S340" s="12" t="s">
        <v>70</v>
      </c>
      <c r="T340" s="11" t="str">
        <f t="shared" si="10"/>
        <v>-8.0025163</v>
      </c>
      <c r="U340" s="11" t="str">
        <f t="shared" si="11"/>
        <v>-34.871553</v>
      </c>
    </row>
    <row r="341" spans="1:21">
      <c r="A341" s="11" t="s">
        <v>2157</v>
      </c>
      <c r="B341" s="11" t="s">
        <v>2151</v>
      </c>
      <c r="C341" s="11">
        <v>48721606000142</v>
      </c>
      <c r="E341" s="12" t="s">
        <v>23</v>
      </c>
      <c r="F341" s="12" t="s">
        <v>2152</v>
      </c>
      <c r="G341" s="11" t="s">
        <v>2153</v>
      </c>
      <c r="H341" s="11">
        <v>88</v>
      </c>
      <c r="I341" s="11" t="s">
        <v>26</v>
      </c>
      <c r="J341" s="11">
        <v>53300190</v>
      </c>
      <c r="K341" s="11" t="s">
        <v>2155</v>
      </c>
      <c r="L341" s="11" t="s">
        <v>553</v>
      </c>
      <c r="M341" s="11" t="s">
        <v>29</v>
      </c>
      <c r="P341" s="11" t="s">
        <v>2156</v>
      </c>
      <c r="Q341" s="13">
        <v>-8.0025162999999999</v>
      </c>
      <c r="R341" s="11">
        <v>-34.871552999999999</v>
      </c>
      <c r="S341" s="12" t="s">
        <v>70</v>
      </c>
      <c r="T341" s="11" t="str">
        <f t="shared" si="10"/>
        <v>-8.0025163</v>
      </c>
      <c r="U341" s="11" t="str">
        <f t="shared" si="11"/>
        <v>-34.871553</v>
      </c>
    </row>
    <row r="342" spans="1:21">
      <c r="A342" s="11" t="s">
        <v>2158</v>
      </c>
      <c r="B342" s="11" t="s">
        <v>2159</v>
      </c>
      <c r="C342" s="11">
        <v>35004395000185</v>
      </c>
      <c r="E342" s="12" t="s">
        <v>23</v>
      </c>
      <c r="F342" s="12" t="s">
        <v>2160</v>
      </c>
      <c r="G342" s="11" t="s">
        <v>2161</v>
      </c>
      <c r="H342" s="11">
        <v>830</v>
      </c>
      <c r="I342" s="11" t="s">
        <v>2162</v>
      </c>
      <c r="J342" s="11">
        <v>63031760</v>
      </c>
      <c r="K342" s="11" t="s">
        <v>2163</v>
      </c>
      <c r="L342" s="11" t="s">
        <v>353</v>
      </c>
      <c r="M342" s="11" t="s">
        <v>354</v>
      </c>
      <c r="P342" s="11" t="s">
        <v>2164</v>
      </c>
      <c r="Q342" s="13">
        <v>-7.2130599999999996</v>
      </c>
      <c r="R342" s="11">
        <v>-39.315280000000001</v>
      </c>
      <c r="S342" s="12" t="s">
        <v>70</v>
      </c>
      <c r="T342" s="11" t="str">
        <f t="shared" si="10"/>
        <v>-7.21306</v>
      </c>
      <c r="U342" s="11" t="str">
        <f t="shared" si="11"/>
        <v>-39.31528</v>
      </c>
    </row>
    <row r="343" spans="1:21">
      <c r="A343" s="11" t="s">
        <v>2165</v>
      </c>
      <c r="B343" s="11" t="s">
        <v>2166</v>
      </c>
      <c r="C343" s="11">
        <v>51031891000184</v>
      </c>
      <c r="E343" s="12" t="s">
        <v>23</v>
      </c>
      <c r="F343" s="12" t="s">
        <v>2167</v>
      </c>
      <c r="G343" s="11" t="s">
        <v>2168</v>
      </c>
      <c r="H343" s="11">
        <v>42</v>
      </c>
      <c r="I343" s="11" t="s">
        <v>26</v>
      </c>
      <c r="J343" s="11">
        <v>20745220</v>
      </c>
      <c r="K343" s="11" t="s">
        <v>2169</v>
      </c>
      <c r="L343" s="11" t="s">
        <v>313</v>
      </c>
      <c r="M343" s="11" t="s">
        <v>68</v>
      </c>
      <c r="P343" s="11" t="s">
        <v>2170</v>
      </c>
      <c r="Q343" s="13" t="s">
        <v>2171</v>
      </c>
      <c r="R343" s="11" t="s">
        <v>2172</v>
      </c>
      <c r="S343" s="12" t="s">
        <v>33</v>
      </c>
      <c r="T343" s="11" t="str">
        <f t="shared" si="10"/>
        <v>-22.9088700</v>
      </c>
      <c r="U343" s="11" t="str">
        <f t="shared" si="11"/>
        <v>-43.3154298</v>
      </c>
    </row>
    <row r="344" spans="1:21">
      <c r="A344" s="11" t="s">
        <v>2173</v>
      </c>
      <c r="B344" s="11" t="s">
        <v>1556</v>
      </c>
      <c r="C344" s="11">
        <v>44028430000197</v>
      </c>
      <c r="E344" s="12" t="s">
        <v>23</v>
      </c>
      <c r="F344" s="12" t="s">
        <v>1557</v>
      </c>
      <c r="G344" s="11" t="s">
        <v>2174</v>
      </c>
      <c r="H344" s="11">
        <v>146</v>
      </c>
      <c r="I344" s="11" t="s">
        <v>2175</v>
      </c>
      <c r="J344" s="11">
        <v>78060601</v>
      </c>
      <c r="K344" s="11" t="s">
        <v>2176</v>
      </c>
      <c r="L344" s="11" t="s">
        <v>1948</v>
      </c>
      <c r="M344" s="11" t="s">
        <v>1561</v>
      </c>
      <c r="P344" s="11" t="s">
        <v>2177</v>
      </c>
      <c r="Q344" s="13" t="s">
        <v>2178</v>
      </c>
      <c r="R344" s="11" t="s">
        <v>2179</v>
      </c>
      <c r="S344" s="12" t="s">
        <v>33</v>
      </c>
      <c r="T344" s="11" t="str">
        <f t="shared" si="10"/>
        <v>-15.6079032</v>
      </c>
      <c r="U344" s="11" t="str">
        <f t="shared" si="11"/>
        <v>-56.0697396</v>
      </c>
    </row>
    <row r="345" spans="1:21">
      <c r="A345" s="11" t="s">
        <v>2180</v>
      </c>
      <c r="B345" s="11" t="s">
        <v>2181</v>
      </c>
      <c r="C345" s="11">
        <v>30685227000189</v>
      </c>
      <c r="E345" s="12" t="s">
        <v>23</v>
      </c>
      <c r="F345" s="12" t="s">
        <v>2182</v>
      </c>
      <c r="G345" s="11" t="s">
        <v>2183</v>
      </c>
      <c r="H345" s="11">
        <v>300</v>
      </c>
      <c r="I345" s="11" t="s">
        <v>2184</v>
      </c>
      <c r="J345" s="11">
        <v>29160161</v>
      </c>
      <c r="K345" s="11" t="s">
        <v>2185</v>
      </c>
      <c r="L345" s="11" t="s">
        <v>917</v>
      </c>
      <c r="M345" s="11" t="s">
        <v>918</v>
      </c>
      <c r="P345" s="11" t="s">
        <v>2186</v>
      </c>
      <c r="Q345" s="13" t="s">
        <v>2187</v>
      </c>
      <c r="R345" s="11" t="s">
        <v>2188</v>
      </c>
      <c r="S345" s="12" t="s">
        <v>33</v>
      </c>
      <c r="T345" s="11" t="str">
        <f t="shared" si="10"/>
        <v>-20.2394684</v>
      </c>
      <c r="U345" s="11" t="str">
        <f t="shared" si="11"/>
        <v>-40.2740046</v>
      </c>
    </row>
    <row r="346" spans="1:21">
      <c r="A346" s="11" t="s">
        <v>2189</v>
      </c>
      <c r="B346" s="11" t="s">
        <v>2190</v>
      </c>
      <c r="C346" s="11">
        <v>52268391000123</v>
      </c>
      <c r="E346" s="12" t="s">
        <v>23</v>
      </c>
      <c r="F346" s="12" t="s">
        <v>2191</v>
      </c>
      <c r="G346" s="11" t="s">
        <v>2192</v>
      </c>
      <c r="H346" s="11">
        <v>400</v>
      </c>
      <c r="I346" s="11" t="s">
        <v>170</v>
      </c>
      <c r="J346" s="11">
        <v>39800013</v>
      </c>
      <c r="K346" s="11" t="s">
        <v>39</v>
      </c>
      <c r="L346" s="11" t="s">
        <v>2193</v>
      </c>
      <c r="M346" s="11" t="s">
        <v>404</v>
      </c>
      <c r="P346" s="11" t="s">
        <v>2194</v>
      </c>
      <c r="Q346" s="13" t="s">
        <v>2195</v>
      </c>
      <c r="R346" s="11" t="s">
        <v>2196</v>
      </c>
      <c r="S346" s="12" t="s">
        <v>33</v>
      </c>
      <c r="T346" s="11" t="str">
        <f t="shared" si="10"/>
        <v>-17.8619405</v>
      </c>
      <c r="U346" s="11" t="str">
        <f t="shared" si="11"/>
        <v>-41.5088547</v>
      </c>
    </row>
    <row r="347" spans="1:21">
      <c r="A347" s="11" t="s">
        <v>2197</v>
      </c>
      <c r="B347" s="11" t="s">
        <v>2198</v>
      </c>
      <c r="C347" s="11">
        <v>50665708000130</v>
      </c>
      <c r="E347" s="12" t="s">
        <v>23</v>
      </c>
      <c r="F347" s="12" t="s">
        <v>2199</v>
      </c>
      <c r="G347" s="11" t="s">
        <v>2200</v>
      </c>
      <c r="H347" s="11">
        <v>319</v>
      </c>
      <c r="I347" s="11" t="s">
        <v>26</v>
      </c>
      <c r="J347" s="11">
        <v>64965000</v>
      </c>
      <c r="K347" s="11" t="s">
        <v>39</v>
      </c>
      <c r="L347" s="11" t="s">
        <v>2201</v>
      </c>
      <c r="M347" s="11" t="s">
        <v>391</v>
      </c>
      <c r="P347" s="11" t="s">
        <v>2202</v>
      </c>
      <c r="Q347" s="13" t="s">
        <v>2203</v>
      </c>
      <c r="R347" s="11" t="s">
        <v>2204</v>
      </c>
      <c r="S347" s="12" t="s">
        <v>33</v>
      </c>
      <c r="T347" s="11" t="str">
        <f t="shared" si="10"/>
        <v>-10.1346855</v>
      </c>
      <c r="U347" s="11" t="str">
        <f t="shared" si="11"/>
        <v>-43.9489525</v>
      </c>
    </row>
    <row r="348" spans="1:21">
      <c r="A348" s="11" t="s">
        <v>2205</v>
      </c>
      <c r="B348" s="11" t="s">
        <v>2206</v>
      </c>
      <c r="C348" s="11">
        <v>52861007000100</v>
      </c>
      <c r="E348" s="12" t="s">
        <v>23</v>
      </c>
      <c r="F348" s="12" t="s">
        <v>2207</v>
      </c>
      <c r="G348" s="11" t="s">
        <v>2208</v>
      </c>
      <c r="H348" s="11">
        <v>73</v>
      </c>
      <c r="I348" s="11" t="s">
        <v>26</v>
      </c>
      <c r="J348" s="11">
        <v>63180000</v>
      </c>
      <c r="K348" s="11" t="s">
        <v>39</v>
      </c>
      <c r="L348" s="11" t="s">
        <v>2209</v>
      </c>
      <c r="M348" s="11" t="s">
        <v>354</v>
      </c>
      <c r="P348" s="11" t="s">
        <v>2210</v>
      </c>
      <c r="Q348" s="13">
        <v>-7.3103802</v>
      </c>
      <c r="R348" s="11">
        <v>-39.299807199999996</v>
      </c>
      <c r="S348" s="12" t="s">
        <v>70</v>
      </c>
      <c r="T348" s="11" t="str">
        <f t="shared" si="10"/>
        <v>-7.3103802</v>
      </c>
      <c r="U348" s="11" t="str">
        <f t="shared" si="11"/>
        <v>-39.2998072</v>
      </c>
    </row>
    <row r="349" spans="1:21">
      <c r="A349" s="11" t="s">
        <v>2211</v>
      </c>
      <c r="B349" s="11" t="s">
        <v>2212</v>
      </c>
      <c r="C349" s="11">
        <v>52359456000146</v>
      </c>
      <c r="E349" s="12" t="s">
        <v>23</v>
      </c>
      <c r="F349" s="12" t="s">
        <v>2213</v>
      </c>
      <c r="G349" s="11" t="s">
        <v>2214</v>
      </c>
      <c r="H349" s="11">
        <v>67</v>
      </c>
      <c r="I349" s="11" t="s">
        <v>26</v>
      </c>
      <c r="J349" s="11">
        <v>12410040</v>
      </c>
      <c r="K349" s="11" t="s">
        <v>2215</v>
      </c>
      <c r="L349" s="11" t="s">
        <v>2216</v>
      </c>
      <c r="M349" s="11" t="s">
        <v>78</v>
      </c>
      <c r="P349" s="11" t="s">
        <v>2217</v>
      </c>
      <c r="Q349" s="13">
        <v>-22.932653500000001</v>
      </c>
      <c r="R349" s="11">
        <v>-45.459343199999999</v>
      </c>
      <c r="S349" s="12" t="s">
        <v>70</v>
      </c>
      <c r="T349" s="11" t="str">
        <f t="shared" si="10"/>
        <v>-22.9326535</v>
      </c>
      <c r="U349" s="11" t="str">
        <f t="shared" si="11"/>
        <v>-45.4593432</v>
      </c>
    </row>
    <row r="350" spans="1:21">
      <c r="A350" s="11" t="s">
        <v>2218</v>
      </c>
      <c r="B350" s="11" t="s">
        <v>2219</v>
      </c>
      <c r="C350" s="11">
        <v>52923382000129</v>
      </c>
      <c r="E350" s="12" t="s">
        <v>23</v>
      </c>
      <c r="F350" s="12" t="s">
        <v>2220</v>
      </c>
      <c r="G350" s="11" t="s">
        <v>2221</v>
      </c>
      <c r="H350" s="11">
        <v>5</v>
      </c>
      <c r="I350" s="11" t="s">
        <v>26</v>
      </c>
      <c r="J350" s="11">
        <v>45700000</v>
      </c>
      <c r="K350" s="11" t="s">
        <v>39</v>
      </c>
      <c r="L350" s="11" t="s">
        <v>427</v>
      </c>
      <c r="M350" s="11" t="s">
        <v>86</v>
      </c>
      <c r="P350" s="11" t="s">
        <v>429</v>
      </c>
      <c r="Q350" s="13" t="s">
        <v>430</v>
      </c>
      <c r="R350" s="11" t="s">
        <v>431</v>
      </c>
      <c r="S350" s="12" t="s">
        <v>33</v>
      </c>
      <c r="T350" s="11" t="str">
        <f t="shared" si="10"/>
        <v>-15.2454478</v>
      </c>
      <c r="U350" s="11" t="str">
        <f t="shared" si="11"/>
        <v>-40.2460053</v>
      </c>
    </row>
    <row r="351" spans="1:21">
      <c r="A351" s="11" t="s">
        <v>2222</v>
      </c>
      <c r="B351" s="11" t="s">
        <v>2073</v>
      </c>
      <c r="C351" s="11">
        <v>32950536000245</v>
      </c>
      <c r="E351" s="12" t="s">
        <v>23</v>
      </c>
      <c r="F351" s="12" t="s">
        <v>2074</v>
      </c>
      <c r="G351" s="11" t="s">
        <v>2223</v>
      </c>
      <c r="H351" s="11">
        <v>105</v>
      </c>
      <c r="I351" s="11" t="s">
        <v>2224</v>
      </c>
      <c r="J351" s="11">
        <v>50070075</v>
      </c>
      <c r="K351" s="11" t="s">
        <v>1448</v>
      </c>
      <c r="L351" s="11" t="s">
        <v>28</v>
      </c>
      <c r="M351" s="11" t="s">
        <v>29</v>
      </c>
      <c r="P351" s="11" t="s">
        <v>2225</v>
      </c>
      <c r="Q351" s="13" t="s">
        <v>2226</v>
      </c>
      <c r="R351" s="11" t="s">
        <v>2227</v>
      </c>
      <c r="S351" s="12" t="s">
        <v>33</v>
      </c>
      <c r="T351" s="11" t="str">
        <f t="shared" si="10"/>
        <v>-8.0622595</v>
      </c>
      <c r="U351" s="11" t="str">
        <f t="shared" si="11"/>
        <v>-34.8894504</v>
      </c>
    </row>
    <row r="352" spans="1:21">
      <c r="A352" s="11" t="s">
        <v>2228</v>
      </c>
      <c r="B352" s="11" t="s">
        <v>564</v>
      </c>
      <c r="C352" s="11">
        <v>35233289000254</v>
      </c>
      <c r="E352" s="12" t="s">
        <v>23</v>
      </c>
      <c r="F352" s="12" t="s">
        <v>565</v>
      </c>
      <c r="G352" s="11" t="s">
        <v>566</v>
      </c>
      <c r="H352" s="11">
        <v>92</v>
      </c>
      <c r="I352" s="11" t="s">
        <v>2229</v>
      </c>
      <c r="J352" s="11">
        <v>68745480</v>
      </c>
      <c r="K352" s="11" t="s">
        <v>567</v>
      </c>
      <c r="L352" s="11" t="s">
        <v>224</v>
      </c>
      <c r="M352" s="11" t="s">
        <v>225</v>
      </c>
      <c r="P352" s="11" t="s">
        <v>568</v>
      </c>
      <c r="Q352" s="13" t="s">
        <v>569</v>
      </c>
      <c r="R352" s="11" t="s">
        <v>570</v>
      </c>
      <c r="S352" s="12" t="s">
        <v>33</v>
      </c>
      <c r="T352" s="11" t="str">
        <f t="shared" si="10"/>
        <v>-1.3041445</v>
      </c>
      <c r="U352" s="11" t="str">
        <f t="shared" si="11"/>
        <v>-47.9154384</v>
      </c>
    </row>
    <row r="353" spans="1:21">
      <c r="A353" s="11" t="s">
        <v>2230</v>
      </c>
      <c r="B353" s="11" t="s">
        <v>2231</v>
      </c>
      <c r="C353" s="11">
        <v>44184954000177</v>
      </c>
      <c r="E353" s="12" t="s">
        <v>23</v>
      </c>
      <c r="F353" s="12" t="s">
        <v>2232</v>
      </c>
      <c r="G353" s="11" t="s">
        <v>2233</v>
      </c>
      <c r="H353" s="11">
        <v>2300</v>
      </c>
      <c r="I353" s="11" t="s">
        <v>26</v>
      </c>
      <c r="J353" s="11">
        <v>79080105</v>
      </c>
      <c r="K353" s="11" t="s">
        <v>2234</v>
      </c>
      <c r="L353" s="11" t="s">
        <v>1198</v>
      </c>
      <c r="M353" s="11" t="s">
        <v>2235</v>
      </c>
      <c r="P353" s="11" t="s">
        <v>2236</v>
      </c>
      <c r="Q353" s="13" t="s">
        <v>2237</v>
      </c>
      <c r="R353" s="11" t="s">
        <v>2238</v>
      </c>
      <c r="S353" s="12" t="s">
        <v>33</v>
      </c>
      <c r="T353" s="11" t="str">
        <f t="shared" si="10"/>
        <v>-20.4824125</v>
      </c>
      <c r="U353" s="11" t="str">
        <f t="shared" si="11"/>
        <v>-54.6284563</v>
      </c>
    </row>
    <row r="354" spans="1:21">
      <c r="A354" s="11" t="s">
        <v>2239</v>
      </c>
      <c r="B354" s="11" t="s">
        <v>2240</v>
      </c>
      <c r="C354" s="11">
        <v>52901705000183</v>
      </c>
      <c r="E354" s="12" t="s">
        <v>23</v>
      </c>
      <c r="F354" s="12" t="s">
        <v>2241</v>
      </c>
      <c r="G354" s="11" t="s">
        <v>2242</v>
      </c>
      <c r="H354" s="11">
        <v>111</v>
      </c>
      <c r="I354" s="11" t="s">
        <v>2243</v>
      </c>
      <c r="J354" s="11">
        <v>56210000</v>
      </c>
      <c r="K354" s="11" t="s">
        <v>39</v>
      </c>
      <c r="L354" s="11" t="s">
        <v>2244</v>
      </c>
      <c r="M354" s="11" t="s">
        <v>29</v>
      </c>
      <c r="P354" s="11" t="s">
        <v>2245</v>
      </c>
      <c r="Q354" s="13">
        <v>-8.1624999999999996</v>
      </c>
      <c r="R354" s="11">
        <v>-40.615560000000002</v>
      </c>
      <c r="S354" s="12" t="s">
        <v>70</v>
      </c>
      <c r="T354" s="11" t="str">
        <f t="shared" si="10"/>
        <v>-8.1625</v>
      </c>
      <c r="U354" s="11" t="str">
        <f t="shared" si="11"/>
        <v>-40.61556</v>
      </c>
    </row>
    <row r="355" spans="1:21">
      <c r="A355" s="11" t="s">
        <v>2246</v>
      </c>
      <c r="B355" s="11" t="s">
        <v>2247</v>
      </c>
      <c r="C355" s="11">
        <v>41824167000154</v>
      </c>
      <c r="E355" s="12" t="s">
        <v>23</v>
      </c>
      <c r="F355" s="12" t="s">
        <v>1849</v>
      </c>
      <c r="G355" s="11" t="s">
        <v>2248</v>
      </c>
      <c r="H355" s="11" t="s">
        <v>129</v>
      </c>
      <c r="I355" s="11" t="s">
        <v>26</v>
      </c>
      <c r="J355" s="11">
        <v>65091320</v>
      </c>
      <c r="K355" s="11" t="s">
        <v>2249</v>
      </c>
      <c r="L355" s="11" t="s">
        <v>511</v>
      </c>
      <c r="M355" s="11" t="s">
        <v>281</v>
      </c>
      <c r="P355" s="11" t="s">
        <v>2250</v>
      </c>
      <c r="Q355" s="13">
        <v>-2.6166700000000001</v>
      </c>
      <c r="R355" s="11">
        <v>-44.316670000000002</v>
      </c>
      <c r="S355" s="12" t="s">
        <v>70</v>
      </c>
      <c r="T355" s="11" t="str">
        <f t="shared" si="10"/>
        <v>-2.61667</v>
      </c>
      <c r="U355" s="11" t="str">
        <f t="shared" si="11"/>
        <v>-44.31667</v>
      </c>
    </row>
    <row r="356" spans="1:21">
      <c r="A356" s="11" t="s">
        <v>2251</v>
      </c>
      <c r="B356" s="11" t="s">
        <v>2252</v>
      </c>
      <c r="C356" s="11">
        <v>47161568000158</v>
      </c>
      <c r="E356" s="12" t="s">
        <v>23</v>
      </c>
      <c r="F356" s="12" t="s">
        <v>2253</v>
      </c>
      <c r="G356" s="11" t="s">
        <v>2254</v>
      </c>
      <c r="H356" s="11">
        <v>1003</v>
      </c>
      <c r="I356" s="11" t="s">
        <v>2255</v>
      </c>
      <c r="J356" s="11">
        <v>65398000</v>
      </c>
      <c r="K356" s="11" t="s">
        <v>39</v>
      </c>
      <c r="L356" s="11" t="s">
        <v>2256</v>
      </c>
      <c r="M356" s="11" t="s">
        <v>281</v>
      </c>
      <c r="P356" s="11" t="s">
        <v>2257</v>
      </c>
      <c r="Q356" s="13" t="s">
        <v>2258</v>
      </c>
      <c r="R356" s="11" t="s">
        <v>2259</v>
      </c>
      <c r="S356" s="12" t="s">
        <v>33</v>
      </c>
      <c r="T356" s="11" t="str">
        <f t="shared" si="10"/>
        <v>-3.6698186</v>
      </c>
      <c r="U356" s="11" t="str">
        <f t="shared" si="11"/>
        <v>-45.8462153</v>
      </c>
    </row>
    <row r="357" spans="1:21">
      <c r="A357" s="11" t="s">
        <v>2260</v>
      </c>
      <c r="B357" s="11" t="s">
        <v>1599</v>
      </c>
      <c r="C357" s="11">
        <v>50532402000105</v>
      </c>
      <c r="E357" s="12" t="s">
        <v>23</v>
      </c>
      <c r="F357" s="12" t="s">
        <v>1600</v>
      </c>
      <c r="G357" s="11" t="s">
        <v>1601</v>
      </c>
      <c r="H357" s="11">
        <v>462</v>
      </c>
      <c r="I357" s="11" t="s">
        <v>26</v>
      </c>
      <c r="J357" s="11">
        <v>56903400</v>
      </c>
      <c r="K357" s="11" t="s">
        <v>1602</v>
      </c>
      <c r="L357" s="11" t="s">
        <v>1603</v>
      </c>
      <c r="M357" s="11" t="s">
        <v>29</v>
      </c>
      <c r="P357" s="11" t="s">
        <v>1604</v>
      </c>
      <c r="Q357" s="13" t="s">
        <v>1605</v>
      </c>
      <c r="R357" s="11" t="s">
        <v>1606</v>
      </c>
      <c r="S357" s="12" t="s">
        <v>33</v>
      </c>
      <c r="T357" s="11" t="str">
        <f t="shared" si="10"/>
        <v>-7.9908760</v>
      </c>
      <c r="U357" s="11" t="str">
        <f t="shared" si="11"/>
        <v>-38.2994748</v>
      </c>
    </row>
    <row r="358" spans="1:21">
      <c r="P358" s="11"/>
    </row>
    <row r="359" spans="1:21">
      <c r="A359" s="11" t="s">
        <v>2261</v>
      </c>
      <c r="B359" s="11" t="s">
        <v>674</v>
      </c>
      <c r="C359" s="11">
        <v>20673636000888</v>
      </c>
      <c r="E359" s="12" t="s">
        <v>23</v>
      </c>
      <c r="F359" s="12" t="s">
        <v>2262</v>
      </c>
      <c r="G359" s="11" t="s">
        <v>2263</v>
      </c>
      <c r="H359" s="11">
        <v>234</v>
      </c>
      <c r="I359" s="11" t="s">
        <v>2264</v>
      </c>
      <c r="J359" s="11">
        <v>88301320</v>
      </c>
      <c r="K359" s="11" t="s">
        <v>39</v>
      </c>
      <c r="L359" s="11" t="s">
        <v>2265</v>
      </c>
      <c r="M359" s="11" t="s">
        <v>105</v>
      </c>
      <c r="P359" s="11" t="s">
        <v>2266</v>
      </c>
      <c r="Q359" s="13" t="s">
        <v>2267</v>
      </c>
      <c r="R359" s="11" t="s">
        <v>2268</v>
      </c>
      <c r="S359" s="12" t="s">
        <v>33</v>
      </c>
      <c r="T359" s="11" t="str">
        <f t="shared" si="10"/>
        <v>-26.9059398</v>
      </c>
      <c r="U359" s="11" t="str">
        <f t="shared" si="11"/>
        <v>-48.6626196</v>
      </c>
    </row>
    <row r="360" spans="1:21">
      <c r="A360" s="11" t="s">
        <v>2269</v>
      </c>
      <c r="B360" s="11" t="s">
        <v>2270</v>
      </c>
      <c r="C360" s="11">
        <v>52569838000285</v>
      </c>
      <c r="E360" s="12" t="s">
        <v>23</v>
      </c>
      <c r="F360" s="12" t="s">
        <v>2271</v>
      </c>
      <c r="G360" s="11" t="s">
        <v>2272</v>
      </c>
      <c r="H360" s="11" t="s">
        <v>129</v>
      </c>
      <c r="I360" s="11" t="s">
        <v>2273</v>
      </c>
      <c r="J360" s="11">
        <v>4438140</v>
      </c>
      <c r="K360" s="11" t="s">
        <v>2274</v>
      </c>
      <c r="L360" s="11" t="s">
        <v>77</v>
      </c>
      <c r="M360" s="11" t="s">
        <v>78</v>
      </c>
      <c r="P360" s="11" t="s">
        <v>2275</v>
      </c>
      <c r="Q360" s="13">
        <v>-22.09055</v>
      </c>
      <c r="R360" s="11">
        <v>-47.832949999999997</v>
      </c>
      <c r="S360" s="12" t="s">
        <v>70</v>
      </c>
      <c r="T360" s="11" t="str">
        <f t="shared" si="10"/>
        <v>-22.09055</v>
      </c>
      <c r="U360" s="11" t="str">
        <f t="shared" si="11"/>
        <v>-47.83295</v>
      </c>
    </row>
    <row r="361" spans="1:21">
      <c r="A361" s="11" t="s">
        <v>2276</v>
      </c>
      <c r="B361" s="11" t="s">
        <v>867</v>
      </c>
      <c r="C361" s="11">
        <v>46378367000225</v>
      </c>
      <c r="E361" s="12" t="s">
        <v>23</v>
      </c>
      <c r="F361" s="12" t="s">
        <v>2277</v>
      </c>
      <c r="G361" s="11" t="s">
        <v>2278</v>
      </c>
      <c r="H361" s="11">
        <v>800</v>
      </c>
      <c r="I361" s="11" t="s">
        <v>26</v>
      </c>
      <c r="J361" s="11">
        <v>55024740</v>
      </c>
      <c r="K361" s="11" t="s">
        <v>2279</v>
      </c>
      <c r="L361" s="11" t="s">
        <v>872</v>
      </c>
      <c r="M361" s="11" t="s">
        <v>29</v>
      </c>
      <c r="P361" s="11" t="s">
        <v>873</v>
      </c>
      <c r="Q361" s="13" t="s">
        <v>874</v>
      </c>
      <c r="R361" s="11" t="s">
        <v>875</v>
      </c>
      <c r="S361" s="12" t="s">
        <v>33</v>
      </c>
      <c r="T361" s="11" t="str">
        <f t="shared" si="10"/>
        <v>-8.2924485</v>
      </c>
      <c r="U361" s="11" t="str">
        <f t="shared" si="11"/>
        <v>-35.9554133</v>
      </c>
    </row>
    <row r="362" spans="1:21">
      <c r="A362" s="11" t="s">
        <v>2280</v>
      </c>
      <c r="B362" s="11" t="s">
        <v>867</v>
      </c>
      <c r="C362" s="11">
        <v>46378367000225</v>
      </c>
      <c r="E362" s="12" t="s">
        <v>23</v>
      </c>
      <c r="F362" s="12" t="s">
        <v>2277</v>
      </c>
      <c r="G362" s="11" t="s">
        <v>2278</v>
      </c>
      <c r="H362" s="11">
        <v>800</v>
      </c>
      <c r="I362" s="11" t="s">
        <v>892</v>
      </c>
      <c r="J362" s="11">
        <v>55024740</v>
      </c>
      <c r="K362" s="11" t="s">
        <v>2279</v>
      </c>
      <c r="L362" s="11" t="s">
        <v>872</v>
      </c>
      <c r="M362" s="11" t="s">
        <v>29</v>
      </c>
      <c r="P362" s="11" t="s">
        <v>873</v>
      </c>
      <c r="Q362" s="13" t="s">
        <v>874</v>
      </c>
      <c r="R362" s="11" t="s">
        <v>875</v>
      </c>
      <c r="S362" s="12" t="s">
        <v>33</v>
      </c>
      <c r="T362" s="11" t="str">
        <f t="shared" si="10"/>
        <v>-8.2924485</v>
      </c>
      <c r="U362" s="11" t="str">
        <f t="shared" si="11"/>
        <v>-35.9554133</v>
      </c>
    </row>
    <row r="363" spans="1:21">
      <c r="A363" s="11" t="s">
        <v>2281</v>
      </c>
      <c r="B363" s="11" t="s">
        <v>2282</v>
      </c>
      <c r="C363" s="11">
        <v>12777833000142</v>
      </c>
      <c r="E363" s="12" t="s">
        <v>23</v>
      </c>
      <c r="F363" s="12" t="s">
        <v>2283</v>
      </c>
      <c r="G363" s="11" t="s">
        <v>2284</v>
      </c>
      <c r="H363" s="11">
        <v>572</v>
      </c>
      <c r="I363" s="11" t="s">
        <v>892</v>
      </c>
      <c r="J363" s="11">
        <v>62370000</v>
      </c>
      <c r="K363" s="11" t="s">
        <v>39</v>
      </c>
      <c r="L363" s="11" t="s">
        <v>2215</v>
      </c>
      <c r="M363" s="11" t="s">
        <v>354</v>
      </c>
      <c r="P363" s="11" t="s">
        <v>2285</v>
      </c>
      <c r="Q363" s="13" t="s">
        <v>2286</v>
      </c>
      <c r="R363" s="11" t="s">
        <v>2287</v>
      </c>
      <c r="S363" s="12" t="s">
        <v>33</v>
      </c>
      <c r="T363" s="11" t="str">
        <f t="shared" si="10"/>
        <v>-4.0484353</v>
      </c>
      <c r="U363" s="11" t="str">
        <f t="shared" si="11"/>
        <v>-40.8646009</v>
      </c>
    </row>
    <row r="364" spans="1:21">
      <c r="A364" s="11" t="s">
        <v>2288</v>
      </c>
      <c r="B364" s="11" t="s">
        <v>2289</v>
      </c>
      <c r="C364" s="11">
        <v>53000282000193</v>
      </c>
      <c r="E364" s="12" t="s">
        <v>23</v>
      </c>
      <c r="F364" s="12" t="s">
        <v>2290</v>
      </c>
      <c r="G364" s="11" t="s">
        <v>2291</v>
      </c>
      <c r="H364" s="11">
        <v>282</v>
      </c>
      <c r="I364" s="11" t="s">
        <v>26</v>
      </c>
      <c r="J364" s="11">
        <v>36700084</v>
      </c>
      <c r="K364" s="11" t="s">
        <v>39</v>
      </c>
      <c r="L364" s="11" t="s">
        <v>2292</v>
      </c>
      <c r="M364" s="11" t="s">
        <v>404</v>
      </c>
      <c r="P364" s="11" t="s">
        <v>2293</v>
      </c>
      <c r="Q364" s="13">
        <v>-21.531939999999999</v>
      </c>
      <c r="R364" s="11">
        <v>-42.643059999999998</v>
      </c>
      <c r="S364" s="12" t="s">
        <v>70</v>
      </c>
      <c r="T364" s="11" t="str">
        <f t="shared" si="10"/>
        <v>-21.53194</v>
      </c>
      <c r="U364" s="11" t="str">
        <f t="shared" si="11"/>
        <v>-42.64306</v>
      </c>
    </row>
    <row r="365" spans="1:21">
      <c r="A365" s="11" t="s">
        <v>2294</v>
      </c>
      <c r="B365" s="11" t="s">
        <v>2295</v>
      </c>
      <c r="C365" s="11">
        <v>14669845000189</v>
      </c>
      <c r="E365" s="12" t="s">
        <v>23</v>
      </c>
      <c r="F365" s="12" t="s">
        <v>2296</v>
      </c>
      <c r="G365" s="11" t="s">
        <v>2297</v>
      </c>
      <c r="H365" s="11">
        <v>31</v>
      </c>
      <c r="I365" s="11" t="s">
        <v>26</v>
      </c>
      <c r="J365" s="11">
        <v>29703750</v>
      </c>
      <c r="K365" s="11" t="s">
        <v>1998</v>
      </c>
      <c r="L365" s="11" t="s">
        <v>2298</v>
      </c>
      <c r="M365" s="11" t="s">
        <v>918</v>
      </c>
      <c r="P365" s="11" t="s">
        <v>2299</v>
      </c>
      <c r="Q365" s="13" t="s">
        <v>2300</v>
      </c>
      <c r="R365" s="11" t="s">
        <v>2301</v>
      </c>
      <c r="S365" s="12" t="s">
        <v>33</v>
      </c>
      <c r="T365" s="11" t="str">
        <f t="shared" si="10"/>
        <v>-19.5245376</v>
      </c>
      <c r="U365" s="11" t="str">
        <f t="shared" si="11"/>
        <v>-40.6392453</v>
      </c>
    </row>
    <row r="366" spans="1:21">
      <c r="A366" s="11" t="s">
        <v>2302</v>
      </c>
      <c r="B366" s="11" t="s">
        <v>2303</v>
      </c>
      <c r="C366" s="11">
        <v>53027394000138</v>
      </c>
      <c r="E366" s="12" t="s">
        <v>23</v>
      </c>
      <c r="F366" s="12" t="s">
        <v>2304</v>
      </c>
      <c r="G366" s="11" t="s">
        <v>2305</v>
      </c>
      <c r="H366" s="11">
        <v>320</v>
      </c>
      <c r="I366" s="11" t="s">
        <v>2306</v>
      </c>
      <c r="J366" s="11">
        <v>32689354</v>
      </c>
      <c r="K366" s="11" t="s">
        <v>2307</v>
      </c>
      <c r="L366" s="11" t="s">
        <v>403</v>
      </c>
      <c r="M366" s="11" t="s">
        <v>404</v>
      </c>
      <c r="P366" s="11" t="s">
        <v>2308</v>
      </c>
      <c r="Q366" s="13" t="s">
        <v>2309</v>
      </c>
      <c r="R366" s="11" t="s">
        <v>2310</v>
      </c>
      <c r="S366" s="12" t="s">
        <v>33</v>
      </c>
      <c r="T366" s="11" t="str">
        <f t="shared" si="10"/>
        <v>-19.9550902</v>
      </c>
      <c r="U366" s="11" t="str">
        <f t="shared" si="11"/>
        <v>-44.0717476</v>
      </c>
    </row>
    <row r="367" spans="1:21">
      <c r="A367" s="11" t="s">
        <v>2311</v>
      </c>
      <c r="B367" s="11" t="s">
        <v>965</v>
      </c>
      <c r="C367" s="11">
        <v>34046647000176</v>
      </c>
      <c r="E367" s="12" t="s">
        <v>23</v>
      </c>
      <c r="F367" s="12" t="s">
        <v>2122</v>
      </c>
      <c r="G367" s="11" t="s">
        <v>2123</v>
      </c>
      <c r="H367" s="11" t="s">
        <v>968</v>
      </c>
      <c r="I367" s="11" t="s">
        <v>26</v>
      </c>
      <c r="J367" s="11">
        <v>68385000</v>
      </c>
      <c r="K367" s="11" t="s">
        <v>969</v>
      </c>
      <c r="L367" s="11" t="s">
        <v>970</v>
      </c>
      <c r="M367" s="11" t="s">
        <v>225</v>
      </c>
      <c r="P367" s="11" t="s">
        <v>971</v>
      </c>
      <c r="Q367" s="13" t="s">
        <v>972</v>
      </c>
      <c r="R367" s="11" t="s">
        <v>973</v>
      </c>
      <c r="S367" s="12" t="s">
        <v>33</v>
      </c>
      <c r="T367" s="11" t="str">
        <f t="shared" si="10"/>
        <v>-6.7517239</v>
      </c>
      <c r="U367" s="11" t="str">
        <f t="shared" si="11"/>
        <v>-51.1507941</v>
      </c>
    </row>
    <row r="368" spans="1:21">
      <c r="A368" s="11" t="s">
        <v>2312</v>
      </c>
      <c r="B368" s="11" t="s">
        <v>45</v>
      </c>
      <c r="C368" s="11">
        <v>33693099000103</v>
      </c>
      <c r="E368" s="12" t="s">
        <v>23</v>
      </c>
      <c r="F368" s="12" t="s">
        <v>46</v>
      </c>
      <c r="G368" s="11" t="s">
        <v>2313</v>
      </c>
      <c r="H368" s="11">
        <v>119</v>
      </c>
      <c r="I368" s="11" t="s">
        <v>978</v>
      </c>
      <c r="J368" s="11">
        <v>49010660</v>
      </c>
      <c r="K368" s="11" t="s">
        <v>39</v>
      </c>
      <c r="L368" s="11" t="s">
        <v>48</v>
      </c>
      <c r="M368" s="11" t="s">
        <v>49</v>
      </c>
      <c r="P368" s="11" t="s">
        <v>2314</v>
      </c>
      <c r="Q368" s="13">
        <v>-10.911110000000001</v>
      </c>
      <c r="R368" s="11">
        <v>-37.071669999999997</v>
      </c>
      <c r="S368" s="12" t="s">
        <v>70</v>
      </c>
      <c r="T368" s="11" t="str">
        <f t="shared" si="10"/>
        <v>-10.91111</v>
      </c>
      <c r="U368" s="11" t="str">
        <f t="shared" si="11"/>
        <v>-37.07167</v>
      </c>
    </row>
    <row r="369" spans="1:21">
      <c r="A369" s="11" t="s">
        <v>2315</v>
      </c>
      <c r="B369" s="11" t="s">
        <v>2316</v>
      </c>
      <c r="C369" s="11">
        <v>45530992000105</v>
      </c>
      <c r="E369" s="12" t="s">
        <v>23</v>
      </c>
      <c r="F369" s="12" t="s">
        <v>2317</v>
      </c>
      <c r="G369" s="11" t="s">
        <v>2318</v>
      </c>
      <c r="H369" s="11">
        <v>381</v>
      </c>
      <c r="I369" s="11" t="s">
        <v>26</v>
      </c>
      <c r="J369" s="11">
        <v>68633000</v>
      </c>
      <c r="K369" s="11" t="s">
        <v>2319</v>
      </c>
      <c r="L369" s="11" t="s">
        <v>2319</v>
      </c>
      <c r="M369" s="11" t="s">
        <v>225</v>
      </c>
      <c r="P369" s="11" t="s">
        <v>2320</v>
      </c>
      <c r="Q369" s="13" t="s">
        <v>2321</v>
      </c>
      <c r="R369" s="11" t="s">
        <v>2322</v>
      </c>
      <c r="S369" s="12" t="s">
        <v>33</v>
      </c>
      <c r="T369" s="11" t="str">
        <f t="shared" si="10"/>
        <v>-4.2928111</v>
      </c>
      <c r="U369" s="11" t="str">
        <f t="shared" si="11"/>
        <v>-47.5559083</v>
      </c>
    </row>
    <row r="370" spans="1:21">
      <c r="A370" s="11" t="s">
        <v>2323</v>
      </c>
      <c r="B370" s="11" t="s">
        <v>2324</v>
      </c>
      <c r="C370" s="11">
        <v>42347381000120</v>
      </c>
      <c r="E370" s="12" t="s">
        <v>23</v>
      </c>
      <c r="F370" s="12" t="s">
        <v>2325</v>
      </c>
      <c r="G370" s="11" t="s">
        <v>2326</v>
      </c>
      <c r="H370" s="11">
        <v>225</v>
      </c>
      <c r="I370" s="11" t="s">
        <v>39</v>
      </c>
      <c r="J370" s="11">
        <v>2997200</v>
      </c>
      <c r="K370" s="11" t="s">
        <v>2327</v>
      </c>
      <c r="L370" s="11" t="s">
        <v>77</v>
      </c>
      <c r="M370" s="11" t="s">
        <v>78</v>
      </c>
      <c r="P370" s="11" t="s">
        <v>2328</v>
      </c>
      <c r="Q370" s="13">
        <v>-23.43778</v>
      </c>
      <c r="R370" s="11">
        <v>-46.79278</v>
      </c>
      <c r="S370" s="12" t="s">
        <v>70</v>
      </c>
      <c r="T370" s="11" t="str">
        <f t="shared" si="10"/>
        <v>-23.43778</v>
      </c>
      <c r="U370" s="11" t="str">
        <f t="shared" si="11"/>
        <v>-46.79278</v>
      </c>
    </row>
    <row r="371" spans="1:21">
      <c r="A371" s="11" t="s">
        <v>2329</v>
      </c>
      <c r="B371" s="11" t="s">
        <v>1972</v>
      </c>
      <c r="C371" s="11">
        <v>35972663000152</v>
      </c>
      <c r="E371" s="12" t="s">
        <v>23</v>
      </c>
      <c r="F371" s="12" t="s">
        <v>349</v>
      </c>
      <c r="G371" s="11" t="s">
        <v>1974</v>
      </c>
      <c r="H371" s="11">
        <v>387</v>
      </c>
      <c r="I371" s="11" t="s">
        <v>2330</v>
      </c>
      <c r="J371" s="11">
        <v>63010222</v>
      </c>
      <c r="K371" s="11" t="s">
        <v>39</v>
      </c>
      <c r="L371" s="11" t="s">
        <v>353</v>
      </c>
      <c r="M371" s="11" t="s">
        <v>354</v>
      </c>
      <c r="P371" s="11" t="s">
        <v>1646</v>
      </c>
      <c r="Q371" s="13" t="s">
        <v>1647</v>
      </c>
      <c r="R371" s="11" t="s">
        <v>1648</v>
      </c>
      <c r="S371" s="12" t="s">
        <v>33</v>
      </c>
      <c r="T371" s="11" t="str">
        <f t="shared" si="10"/>
        <v>-7.2044509</v>
      </c>
      <c r="U371" s="11" t="str">
        <f t="shared" si="11"/>
        <v>-39.3143397</v>
      </c>
    </row>
    <row r="372" spans="1:21">
      <c r="A372" s="11" t="s">
        <v>2331</v>
      </c>
      <c r="B372" s="11" t="s">
        <v>2332</v>
      </c>
      <c r="C372" s="11">
        <v>53055150000169</v>
      </c>
      <c r="E372" s="12" t="s">
        <v>23</v>
      </c>
      <c r="F372" s="12" t="s">
        <v>2333</v>
      </c>
      <c r="G372" s="11" t="s">
        <v>2334</v>
      </c>
      <c r="H372" s="11">
        <v>25</v>
      </c>
      <c r="I372" s="11" t="s">
        <v>26</v>
      </c>
      <c r="J372" s="11">
        <v>58228000</v>
      </c>
      <c r="K372" s="11" t="s">
        <v>39</v>
      </c>
      <c r="L372" s="11" t="s">
        <v>2335</v>
      </c>
      <c r="M372" s="11" t="s">
        <v>187</v>
      </c>
      <c r="P372" s="11" t="s">
        <v>2336</v>
      </c>
      <c r="Q372" s="13">
        <v>-6.6050116000000001</v>
      </c>
      <c r="R372" s="11">
        <v>-35.626741699999997</v>
      </c>
      <c r="S372" s="12" t="s">
        <v>70</v>
      </c>
      <c r="T372" s="11" t="str">
        <f t="shared" si="10"/>
        <v>-6.6050116</v>
      </c>
      <c r="U372" s="11" t="str">
        <f t="shared" si="11"/>
        <v>-35.6267417</v>
      </c>
    </row>
    <row r="373" spans="1:21">
      <c r="A373" s="11" t="s">
        <v>2337</v>
      </c>
      <c r="B373" s="11" t="s">
        <v>1505</v>
      </c>
      <c r="C373" s="11">
        <v>41106791000116</v>
      </c>
      <c r="E373" s="12" t="s">
        <v>23</v>
      </c>
      <c r="F373" s="12" t="s">
        <v>2338</v>
      </c>
      <c r="G373" s="11" t="s">
        <v>1507</v>
      </c>
      <c r="H373" s="11">
        <v>3100</v>
      </c>
      <c r="I373" s="11" t="s">
        <v>26</v>
      </c>
      <c r="J373" s="11">
        <v>60355512</v>
      </c>
      <c r="K373" s="11" t="s">
        <v>1508</v>
      </c>
      <c r="L373" s="11" t="s">
        <v>437</v>
      </c>
      <c r="M373" s="11" t="s">
        <v>354</v>
      </c>
      <c r="P373" s="11" t="s">
        <v>1509</v>
      </c>
      <c r="Q373" s="13" t="s">
        <v>1510</v>
      </c>
      <c r="R373" s="11" t="s">
        <v>1511</v>
      </c>
      <c r="S373" s="12" t="s">
        <v>33</v>
      </c>
      <c r="T373" s="11" t="str">
        <f t="shared" si="10"/>
        <v>-3.7277411</v>
      </c>
      <c r="U373" s="11" t="str">
        <f t="shared" si="11"/>
        <v>-38.5680336</v>
      </c>
    </row>
    <row r="374" spans="1:21">
      <c r="A374" s="11" t="s">
        <v>2339</v>
      </c>
      <c r="B374" s="11" t="s">
        <v>2340</v>
      </c>
      <c r="C374" s="11">
        <v>52505881000104</v>
      </c>
      <c r="E374" s="12" t="s">
        <v>23</v>
      </c>
      <c r="F374" s="12" t="s">
        <v>953</v>
      </c>
      <c r="G374" s="11" t="s">
        <v>2341</v>
      </c>
      <c r="H374" s="11">
        <v>1067</v>
      </c>
      <c r="I374" s="11" t="s">
        <v>1036</v>
      </c>
      <c r="J374" s="11">
        <v>62800000</v>
      </c>
      <c r="K374" s="11" t="s">
        <v>39</v>
      </c>
      <c r="L374" s="11" t="s">
        <v>2342</v>
      </c>
      <c r="M374" s="11" t="s">
        <v>354</v>
      </c>
      <c r="P374" s="11" t="s">
        <v>2343</v>
      </c>
      <c r="Q374" s="13">
        <v>-4.5616700000000003</v>
      </c>
      <c r="R374" s="11">
        <v>-37.76972</v>
      </c>
      <c r="S374" s="12" t="s">
        <v>70</v>
      </c>
      <c r="T374" s="11" t="str">
        <f t="shared" si="10"/>
        <v>-4.56167</v>
      </c>
      <c r="U374" s="11" t="str">
        <f t="shared" si="11"/>
        <v>-37.76972</v>
      </c>
    </row>
    <row r="375" spans="1:21">
      <c r="A375" s="11" t="s">
        <v>2344</v>
      </c>
      <c r="B375" s="11" t="s">
        <v>2345</v>
      </c>
      <c r="C375" s="11">
        <v>28851887000140</v>
      </c>
      <c r="E375" s="12" t="s">
        <v>23</v>
      </c>
      <c r="F375" s="12" t="s">
        <v>2346</v>
      </c>
      <c r="G375" s="11" t="s">
        <v>2347</v>
      </c>
      <c r="H375" s="11">
        <v>830</v>
      </c>
      <c r="I375" s="11" t="s">
        <v>2348</v>
      </c>
      <c r="J375" s="11">
        <v>48960000</v>
      </c>
      <c r="K375" s="11" t="s">
        <v>1469</v>
      </c>
      <c r="L375" s="11" t="s">
        <v>2349</v>
      </c>
      <c r="M375" s="11" t="s">
        <v>86</v>
      </c>
      <c r="P375" s="11" t="s">
        <v>2350</v>
      </c>
      <c r="Q375" s="13">
        <v>-9.8877038000000006</v>
      </c>
      <c r="R375" s="11">
        <v>-39.963506600000002</v>
      </c>
      <c r="S375" s="12" t="s">
        <v>70</v>
      </c>
      <c r="T375" s="11" t="str">
        <f t="shared" si="10"/>
        <v>-9.8877038</v>
      </c>
      <c r="U375" s="11" t="str">
        <f t="shared" si="11"/>
        <v>-39.9635066</v>
      </c>
    </row>
    <row r="376" spans="1:21">
      <c r="A376" s="11" t="s">
        <v>2351</v>
      </c>
      <c r="B376" s="11" t="s">
        <v>2352</v>
      </c>
      <c r="C376" s="11">
        <v>48734258000148</v>
      </c>
      <c r="E376" s="12" t="s">
        <v>23</v>
      </c>
      <c r="F376" s="12" t="s">
        <v>2353</v>
      </c>
      <c r="G376" s="11" t="s">
        <v>2354</v>
      </c>
      <c r="H376" s="11">
        <v>220</v>
      </c>
      <c r="I376" s="11" t="s">
        <v>2355</v>
      </c>
      <c r="J376" s="11">
        <v>65485000</v>
      </c>
      <c r="K376" s="11" t="s">
        <v>2356</v>
      </c>
      <c r="L376" s="11" t="s">
        <v>1777</v>
      </c>
      <c r="M376" s="11" t="s">
        <v>281</v>
      </c>
      <c r="P376" s="11" t="s">
        <v>1778</v>
      </c>
      <c r="Q376" s="13" t="s">
        <v>1779</v>
      </c>
      <c r="R376" s="11" t="s">
        <v>1780</v>
      </c>
      <c r="S376" s="12" t="s">
        <v>33</v>
      </c>
      <c r="T376" s="11" t="str">
        <f t="shared" si="10"/>
        <v>-3.3973569</v>
      </c>
      <c r="U376" s="11" t="str">
        <f t="shared" si="11"/>
        <v>-44.3560724</v>
      </c>
    </row>
    <row r="377" spans="1:21">
      <c r="A377" s="11" t="s">
        <v>2357</v>
      </c>
      <c r="B377" s="11" t="s">
        <v>2358</v>
      </c>
      <c r="C377" s="11">
        <v>65769366000175</v>
      </c>
      <c r="E377" s="12" t="s">
        <v>23</v>
      </c>
      <c r="F377" s="12" t="s">
        <v>2359</v>
      </c>
      <c r="G377" s="11" t="s">
        <v>2360</v>
      </c>
      <c r="H377" s="11">
        <v>115</v>
      </c>
      <c r="I377" s="11" t="s">
        <v>26</v>
      </c>
      <c r="J377" s="11">
        <v>12020040</v>
      </c>
      <c r="K377" s="11" t="s">
        <v>39</v>
      </c>
      <c r="L377" s="11" t="s">
        <v>805</v>
      </c>
      <c r="M377" s="11" t="s">
        <v>78</v>
      </c>
      <c r="P377" s="11" t="s">
        <v>2361</v>
      </c>
      <c r="Q377" s="13" t="s">
        <v>2362</v>
      </c>
      <c r="R377" s="11" t="s">
        <v>2363</v>
      </c>
      <c r="S377" s="12" t="s">
        <v>33</v>
      </c>
      <c r="T377" s="11" t="str">
        <f t="shared" si="10"/>
        <v>-23.0235589</v>
      </c>
      <c r="U377" s="11" t="str">
        <f t="shared" si="11"/>
        <v>-45.5537553</v>
      </c>
    </row>
    <row r="378" spans="1:21">
      <c r="A378" s="11" t="s">
        <v>2364</v>
      </c>
      <c r="B378" s="11" t="s">
        <v>2365</v>
      </c>
      <c r="C378" s="11">
        <v>53121845000100</v>
      </c>
      <c r="E378" s="12" t="s">
        <v>23</v>
      </c>
      <c r="F378" s="12" t="s">
        <v>2366</v>
      </c>
      <c r="G378" s="11" t="s">
        <v>2367</v>
      </c>
      <c r="H378" s="11">
        <v>4400</v>
      </c>
      <c r="I378" s="11" t="s">
        <v>26</v>
      </c>
      <c r="J378" s="11">
        <v>63024015</v>
      </c>
      <c r="K378" s="11" t="s">
        <v>2368</v>
      </c>
      <c r="L378" s="11" t="s">
        <v>353</v>
      </c>
      <c r="M378" s="11" t="s">
        <v>354</v>
      </c>
      <c r="P378" s="11" t="s">
        <v>2369</v>
      </c>
      <c r="Q378" s="13" t="s">
        <v>2370</v>
      </c>
      <c r="R378" s="11" t="s">
        <v>2371</v>
      </c>
      <c r="S378" s="12" t="s">
        <v>33</v>
      </c>
      <c r="T378" s="11" t="str">
        <f t="shared" si="10"/>
        <v>-7.2274247</v>
      </c>
      <c r="U378" s="11" t="str">
        <f t="shared" si="11"/>
        <v>-39.3476585</v>
      </c>
    </row>
    <row r="379" spans="1:21">
      <c r="P379" s="11"/>
    </row>
    <row r="380" spans="1:21">
      <c r="A380" s="11" t="s">
        <v>2372</v>
      </c>
      <c r="B380" s="11" t="s">
        <v>2373</v>
      </c>
      <c r="C380" s="11">
        <v>11631854000192</v>
      </c>
      <c r="E380" s="12" t="s">
        <v>23</v>
      </c>
      <c r="F380" s="12" t="s">
        <v>2374</v>
      </c>
      <c r="G380" s="11" t="s">
        <v>2375</v>
      </c>
      <c r="H380" s="11" t="s">
        <v>2376</v>
      </c>
      <c r="J380" s="11" t="s">
        <v>2377</v>
      </c>
      <c r="K380" s="11" t="s">
        <v>39</v>
      </c>
      <c r="L380" s="11" t="s">
        <v>2378</v>
      </c>
      <c r="M380" s="11" t="s">
        <v>147</v>
      </c>
      <c r="P380" s="11" t="s">
        <v>2377</v>
      </c>
      <c r="Q380" s="13" t="s">
        <v>2379</v>
      </c>
      <c r="R380" s="11">
        <v>-36.629213433209003</v>
      </c>
      <c r="S380" s="12" t="s">
        <v>70</v>
      </c>
      <c r="T380" s="11" t="str">
        <f t="shared" si="10"/>
        <v>-9.40790629066933</v>
      </c>
      <c r="U380" s="11" t="str">
        <f t="shared" si="11"/>
        <v>-36.629213433209</v>
      </c>
    </row>
    <row r="381" spans="1:21">
      <c r="A381" s="11" t="s">
        <v>2380</v>
      </c>
      <c r="B381" s="11" t="s">
        <v>2381</v>
      </c>
      <c r="C381" s="11">
        <v>53368048000113</v>
      </c>
      <c r="E381" s="12" t="s">
        <v>23</v>
      </c>
      <c r="F381" s="12" t="s">
        <v>2382</v>
      </c>
      <c r="G381" s="11" t="s">
        <v>2383</v>
      </c>
      <c r="H381" s="11">
        <v>353</v>
      </c>
      <c r="I381" s="11" t="s">
        <v>2384</v>
      </c>
      <c r="J381" s="11">
        <v>29101260</v>
      </c>
      <c r="K381" s="11" t="s">
        <v>2385</v>
      </c>
      <c r="L381" s="11" t="s">
        <v>2386</v>
      </c>
      <c r="M381" s="11" t="s">
        <v>918</v>
      </c>
      <c r="P381" s="11" t="s">
        <v>2387</v>
      </c>
      <c r="Q381" s="13" t="s">
        <v>2388</v>
      </c>
      <c r="R381" s="11" t="s">
        <v>2389</v>
      </c>
      <c r="S381" s="12" t="s">
        <v>33</v>
      </c>
      <c r="T381" s="11" t="str">
        <f t="shared" si="10"/>
        <v>-20.3392680</v>
      </c>
      <c r="U381" s="11" t="str">
        <f t="shared" si="11"/>
        <v>-40.2865133</v>
      </c>
    </row>
    <row r="382" spans="1:21">
      <c r="A382" s="11" t="s">
        <v>2390</v>
      </c>
      <c r="B382" s="11" t="s">
        <v>2391</v>
      </c>
      <c r="C382" s="11">
        <v>35407064000196</v>
      </c>
      <c r="E382" s="12" t="s">
        <v>23</v>
      </c>
      <c r="F382" s="12" t="s">
        <v>2392</v>
      </c>
      <c r="G382" s="11" t="s">
        <v>2393</v>
      </c>
      <c r="H382" s="11">
        <v>161</v>
      </c>
      <c r="I382" s="11" t="s">
        <v>2394</v>
      </c>
      <c r="J382" s="11">
        <v>55500000</v>
      </c>
      <c r="K382" s="11" t="s">
        <v>39</v>
      </c>
      <c r="L382" s="11" t="s">
        <v>2395</v>
      </c>
      <c r="M382" s="11" t="s">
        <v>29</v>
      </c>
      <c r="P382" s="11" t="s">
        <v>2396</v>
      </c>
      <c r="Q382" s="13">
        <v>-8.3638388999999993</v>
      </c>
      <c r="R382" s="11">
        <v>-35.235437599999997</v>
      </c>
      <c r="S382" s="12" t="s">
        <v>70</v>
      </c>
      <c r="T382" s="11" t="str">
        <f t="shared" si="10"/>
        <v>-8.3638389</v>
      </c>
      <c r="U382" s="11" t="str">
        <f t="shared" si="11"/>
        <v>-35.2354376</v>
      </c>
    </row>
    <row r="383" spans="1:21">
      <c r="A383" s="11" t="s">
        <v>2397</v>
      </c>
      <c r="B383" s="11" t="s">
        <v>2398</v>
      </c>
      <c r="C383" s="11">
        <v>43588487000188</v>
      </c>
      <c r="E383" s="12" t="s">
        <v>23</v>
      </c>
      <c r="F383" s="12" t="s">
        <v>2399</v>
      </c>
      <c r="G383" s="11" t="s">
        <v>2400</v>
      </c>
      <c r="H383" s="11">
        <v>85</v>
      </c>
      <c r="I383" s="11" t="s">
        <v>26</v>
      </c>
      <c r="J383" s="11">
        <v>43700000</v>
      </c>
      <c r="K383" s="11" t="s">
        <v>39</v>
      </c>
      <c r="L383" s="11" t="s">
        <v>2400</v>
      </c>
      <c r="M383" s="11" t="s">
        <v>86</v>
      </c>
      <c r="P383" s="11" t="s">
        <v>2401</v>
      </c>
      <c r="Q383" s="13" t="s">
        <v>2402</v>
      </c>
      <c r="R383" s="11" t="s">
        <v>2403</v>
      </c>
      <c r="S383" s="12" t="s">
        <v>33</v>
      </c>
      <c r="T383" s="11" t="str">
        <f t="shared" si="10"/>
        <v>-12.7867839</v>
      </c>
      <c r="U383" s="11" t="str">
        <f t="shared" si="11"/>
        <v>-38.4030365</v>
      </c>
    </row>
    <row r="384" spans="1:21">
      <c r="A384" s="11" t="s">
        <v>2404</v>
      </c>
      <c r="B384" s="11" t="s">
        <v>2405</v>
      </c>
      <c r="C384" s="11">
        <v>52870800000167</v>
      </c>
      <c r="E384" s="12" t="s">
        <v>23</v>
      </c>
      <c r="F384" s="12" t="s">
        <v>2406</v>
      </c>
      <c r="G384" s="11" t="s">
        <v>2407</v>
      </c>
      <c r="H384" s="11">
        <v>79</v>
      </c>
      <c r="I384" s="11" t="s">
        <v>2408</v>
      </c>
      <c r="J384" s="11">
        <v>50800270</v>
      </c>
      <c r="K384" s="11" t="s">
        <v>2409</v>
      </c>
      <c r="L384" s="11" t="s">
        <v>28</v>
      </c>
      <c r="M384" s="11" t="s">
        <v>29</v>
      </c>
      <c r="P384" s="11" t="s">
        <v>2410</v>
      </c>
      <c r="Q384" s="13" t="s">
        <v>2411</v>
      </c>
      <c r="R384" s="11" t="s">
        <v>2412</v>
      </c>
      <c r="S384" s="12" t="s">
        <v>33</v>
      </c>
      <c r="T384" s="11" t="str">
        <f t="shared" si="10"/>
        <v>-8.0296220</v>
      </c>
      <c r="U384" s="11" t="str">
        <f t="shared" si="11"/>
        <v>-34.9544275</v>
      </c>
    </row>
    <row r="385" spans="1:21">
      <c r="A385" s="11" t="s">
        <v>2413</v>
      </c>
      <c r="B385" s="11" t="s">
        <v>2414</v>
      </c>
      <c r="C385" s="11">
        <v>48003678000154</v>
      </c>
      <c r="E385" s="12" t="s">
        <v>23</v>
      </c>
      <c r="F385" s="12" t="s">
        <v>2415</v>
      </c>
      <c r="G385" s="11" t="s">
        <v>2416</v>
      </c>
      <c r="H385" s="11">
        <v>2255</v>
      </c>
      <c r="I385" s="11" t="s">
        <v>1331</v>
      </c>
      <c r="J385" s="11">
        <v>4661903</v>
      </c>
      <c r="K385" s="11" t="s">
        <v>2417</v>
      </c>
      <c r="L385" s="11" t="s">
        <v>411</v>
      </c>
      <c r="M385" s="11" t="s">
        <v>78</v>
      </c>
      <c r="P385" s="11" t="s">
        <v>2418</v>
      </c>
      <c r="Q385" s="13">
        <v>-23.547499999999999</v>
      </c>
      <c r="R385" s="11">
        <v>-46.636110000000002</v>
      </c>
      <c r="S385" s="12" t="s">
        <v>70</v>
      </c>
      <c r="T385" s="11" t="str">
        <f t="shared" si="10"/>
        <v>-23.5475</v>
      </c>
      <c r="U385" s="11" t="str">
        <f t="shared" si="11"/>
        <v>-46.63611</v>
      </c>
    </row>
    <row r="386" spans="1:21">
      <c r="A386" s="11" t="s">
        <v>2419</v>
      </c>
      <c r="B386" s="11" t="s">
        <v>2420</v>
      </c>
      <c r="C386" s="11">
        <v>53447893000184</v>
      </c>
      <c r="E386" s="12" t="s">
        <v>23</v>
      </c>
      <c r="F386" s="12" t="s">
        <v>2366</v>
      </c>
      <c r="G386" s="11" t="s">
        <v>2421</v>
      </c>
      <c r="H386" s="11" t="s">
        <v>129</v>
      </c>
      <c r="I386" s="11" t="s">
        <v>2422</v>
      </c>
      <c r="J386" s="11">
        <v>56906010</v>
      </c>
      <c r="K386" s="11" t="s">
        <v>2423</v>
      </c>
      <c r="L386" s="11" t="s">
        <v>1603</v>
      </c>
      <c r="M386" s="11" t="s">
        <v>29</v>
      </c>
      <c r="P386" s="11" t="s">
        <v>2424</v>
      </c>
      <c r="Q386" s="13">
        <v>-7.9919399999999996</v>
      </c>
      <c r="R386" s="11">
        <v>-38.29833</v>
      </c>
      <c r="S386" s="12" t="s">
        <v>70</v>
      </c>
      <c r="T386" s="11" t="str">
        <f t="shared" ref="T386:T448" si="12">SUBSTITUTE(Q:Q,",",".")</f>
        <v>-7.99194</v>
      </c>
      <c r="U386" s="11" t="str">
        <f t="shared" ref="U386:U448" si="13">SUBSTITUTE(R:R,",",".")</f>
        <v>-38.29833</v>
      </c>
    </row>
    <row r="387" spans="1:21">
      <c r="A387" s="11" t="s">
        <v>2425</v>
      </c>
      <c r="B387" s="11" t="s">
        <v>202</v>
      </c>
      <c r="C387" s="11">
        <v>34698995000128</v>
      </c>
      <c r="E387" s="12" t="s">
        <v>23</v>
      </c>
      <c r="F387" s="12" t="s">
        <v>203</v>
      </c>
      <c r="G387" s="11" t="s">
        <v>1617</v>
      </c>
      <c r="H387" s="11">
        <v>1000</v>
      </c>
      <c r="I387" s="11" t="s">
        <v>26</v>
      </c>
      <c r="J387" s="11">
        <v>48604220</v>
      </c>
      <c r="K387" s="11" t="s">
        <v>206</v>
      </c>
      <c r="L387" s="11" t="s">
        <v>207</v>
      </c>
      <c r="M387" s="11" t="s">
        <v>86</v>
      </c>
      <c r="P387" s="11" t="s">
        <v>1619</v>
      </c>
      <c r="Q387" s="13">
        <v>-9.4008800000000008</v>
      </c>
      <c r="R387" s="11">
        <v>-38.250570000000003</v>
      </c>
      <c r="S387" s="12" t="s">
        <v>70</v>
      </c>
      <c r="T387" s="11" t="str">
        <f t="shared" si="12"/>
        <v>-9.40088</v>
      </c>
      <c r="U387" s="11" t="str">
        <f t="shared" si="13"/>
        <v>-38.25057</v>
      </c>
    </row>
    <row r="388" spans="1:21">
      <c r="A388" s="11" t="s">
        <v>2426</v>
      </c>
      <c r="B388" s="11" t="s">
        <v>2427</v>
      </c>
      <c r="C388" s="11">
        <v>53517069000153</v>
      </c>
      <c r="E388" s="12" t="s">
        <v>23</v>
      </c>
      <c r="F388" s="12" t="s">
        <v>2428</v>
      </c>
      <c r="G388" s="11" t="s">
        <v>2429</v>
      </c>
      <c r="H388" s="11">
        <v>101</v>
      </c>
      <c r="I388" s="11" t="s">
        <v>2430</v>
      </c>
      <c r="J388" s="11">
        <v>61652140</v>
      </c>
      <c r="K388" s="11" t="s">
        <v>2431</v>
      </c>
      <c r="L388" s="11" t="s">
        <v>1967</v>
      </c>
      <c r="M388" s="11" t="s">
        <v>354</v>
      </c>
      <c r="P388" s="11" t="s">
        <v>2432</v>
      </c>
      <c r="Q388" s="13" t="s">
        <v>2433</v>
      </c>
      <c r="R388" s="11" t="s">
        <v>2434</v>
      </c>
      <c r="S388" s="12" t="s">
        <v>33</v>
      </c>
      <c r="T388" s="11" t="str">
        <f t="shared" si="12"/>
        <v>-3.7736314</v>
      </c>
      <c r="U388" s="11" t="str">
        <f t="shared" si="13"/>
        <v>-38.6277822</v>
      </c>
    </row>
    <row r="389" spans="1:21">
      <c r="A389" s="11" t="s">
        <v>2435</v>
      </c>
      <c r="B389" s="11" t="s">
        <v>2436</v>
      </c>
      <c r="C389" s="11">
        <v>36460286000135</v>
      </c>
      <c r="E389" s="12" t="s">
        <v>23</v>
      </c>
      <c r="F389" s="12" t="s">
        <v>2437</v>
      </c>
      <c r="G389" s="11" t="s">
        <v>2438</v>
      </c>
      <c r="H389" s="11">
        <v>219</v>
      </c>
      <c r="I389" s="11" t="s">
        <v>26</v>
      </c>
      <c r="J389" s="11">
        <v>49360000</v>
      </c>
      <c r="K389" s="11" t="s">
        <v>39</v>
      </c>
      <c r="L389" s="11" t="s">
        <v>2439</v>
      </c>
      <c r="M389" s="11" t="s">
        <v>49</v>
      </c>
      <c r="P389" s="11" t="s">
        <v>2440</v>
      </c>
      <c r="Q389" s="13">
        <v>-11.1462311</v>
      </c>
      <c r="R389" s="11">
        <v>-37.620951499999997</v>
      </c>
      <c r="S389" s="12" t="s">
        <v>70</v>
      </c>
      <c r="T389" s="11" t="str">
        <f t="shared" si="12"/>
        <v>-11.1462311</v>
      </c>
      <c r="U389" s="11" t="str">
        <f t="shared" si="13"/>
        <v>-37.6209515</v>
      </c>
    </row>
    <row r="390" spans="1:21">
      <c r="A390" s="11" t="s">
        <v>2441</v>
      </c>
      <c r="B390" s="11" t="s">
        <v>2442</v>
      </c>
      <c r="C390" s="11">
        <v>53588410000161</v>
      </c>
      <c r="E390" s="12" t="s">
        <v>23</v>
      </c>
      <c r="F390" s="12" t="s">
        <v>2443</v>
      </c>
      <c r="G390" s="11" t="s">
        <v>2444</v>
      </c>
      <c r="H390" s="11">
        <v>368</v>
      </c>
      <c r="I390" s="11" t="s">
        <v>26</v>
      </c>
      <c r="J390" s="11">
        <v>39400110</v>
      </c>
      <c r="K390" s="11" t="s">
        <v>39</v>
      </c>
      <c r="L390" s="11" t="s">
        <v>2445</v>
      </c>
      <c r="M390" s="11" t="s">
        <v>404</v>
      </c>
      <c r="P390" s="11" t="s">
        <v>2446</v>
      </c>
      <c r="Q390" s="13" t="s">
        <v>2447</v>
      </c>
      <c r="R390" s="11" t="s">
        <v>2448</v>
      </c>
      <c r="S390" s="12" t="s">
        <v>33</v>
      </c>
      <c r="T390" s="11" t="str">
        <f t="shared" si="12"/>
        <v>-16.7235979</v>
      </c>
      <c r="U390" s="11" t="str">
        <f t="shared" si="13"/>
        <v>-43.8700933</v>
      </c>
    </row>
    <row r="391" spans="1:21">
      <c r="A391" s="11" t="s">
        <v>2449</v>
      </c>
      <c r="B391" s="11" t="s">
        <v>2151</v>
      </c>
      <c r="C391" s="11">
        <v>48721606000142</v>
      </c>
      <c r="E391" s="12" t="s">
        <v>23</v>
      </c>
      <c r="F391" s="12" t="s">
        <v>2152</v>
      </c>
      <c r="G391" s="11" t="s">
        <v>2153</v>
      </c>
      <c r="H391" s="11">
        <v>88</v>
      </c>
      <c r="I391" s="11" t="s">
        <v>26</v>
      </c>
      <c r="J391" s="11">
        <v>53300190</v>
      </c>
      <c r="K391" s="11" t="s">
        <v>2155</v>
      </c>
      <c r="L391" s="11" t="s">
        <v>553</v>
      </c>
      <c r="M391" s="11" t="s">
        <v>29</v>
      </c>
      <c r="P391" s="11" t="s">
        <v>2156</v>
      </c>
      <c r="Q391" s="13">
        <v>-8.0025162999999999</v>
      </c>
      <c r="R391" s="11">
        <v>-34.871552999999999</v>
      </c>
      <c r="S391" s="12" t="s">
        <v>70</v>
      </c>
      <c r="T391" s="11" t="str">
        <f t="shared" si="12"/>
        <v>-8.0025163</v>
      </c>
      <c r="U391" s="11" t="str">
        <f t="shared" si="13"/>
        <v>-34.871553</v>
      </c>
    </row>
    <row r="392" spans="1:21">
      <c r="A392" s="11" t="s">
        <v>2450</v>
      </c>
      <c r="B392" s="11" t="s">
        <v>2451</v>
      </c>
      <c r="C392" s="11">
        <v>54061632000194</v>
      </c>
      <c r="E392" s="12" t="s">
        <v>23</v>
      </c>
      <c r="F392" s="12" t="s">
        <v>2452</v>
      </c>
      <c r="G392" s="11" t="s">
        <v>2453</v>
      </c>
      <c r="H392" s="11">
        <v>360</v>
      </c>
      <c r="I392" s="11" t="s">
        <v>26</v>
      </c>
      <c r="J392" s="11">
        <v>24020007</v>
      </c>
      <c r="K392" s="11" t="s">
        <v>39</v>
      </c>
      <c r="L392" s="11" t="s">
        <v>1116</v>
      </c>
      <c r="M392" s="11" t="s">
        <v>68</v>
      </c>
      <c r="P392" s="11" t="s">
        <v>2454</v>
      </c>
      <c r="Q392" s="13" t="s">
        <v>2455</v>
      </c>
      <c r="R392" s="11" t="s">
        <v>2456</v>
      </c>
      <c r="S392" s="12" t="s">
        <v>33</v>
      </c>
      <c r="T392" s="11" t="str">
        <f t="shared" si="12"/>
        <v>-22.8967442</v>
      </c>
      <c r="U392" s="11" t="str">
        <f t="shared" si="13"/>
        <v>-43.1289735</v>
      </c>
    </row>
    <row r="393" spans="1:21">
      <c r="A393" s="11" t="s">
        <v>2457</v>
      </c>
      <c r="B393" s="11" t="s">
        <v>2458</v>
      </c>
      <c r="C393" s="11">
        <v>20915808000106</v>
      </c>
      <c r="E393" s="12" t="s">
        <v>23</v>
      </c>
      <c r="F393" s="12" t="s">
        <v>2459</v>
      </c>
      <c r="G393" s="11" t="s">
        <v>2460</v>
      </c>
      <c r="H393" s="11">
        <v>105</v>
      </c>
      <c r="I393" s="11" t="s">
        <v>2461</v>
      </c>
      <c r="J393" s="11">
        <v>46600000</v>
      </c>
      <c r="K393" s="11" t="s">
        <v>39</v>
      </c>
      <c r="L393" s="11" t="s">
        <v>2462</v>
      </c>
      <c r="M393" s="11" t="s">
        <v>86</v>
      </c>
      <c r="P393" s="11" t="s">
        <v>2463</v>
      </c>
      <c r="Q393" s="13" t="s">
        <v>2464</v>
      </c>
      <c r="R393" s="11" t="s">
        <v>2465</v>
      </c>
      <c r="S393" s="12" t="s">
        <v>33</v>
      </c>
      <c r="T393" s="11" t="str">
        <f t="shared" si="12"/>
        <v>-14.0196620</v>
      </c>
      <c r="U393" s="11" t="str">
        <f t="shared" si="13"/>
        <v>-41.2472710</v>
      </c>
    </row>
    <row r="394" spans="1:21">
      <c r="P394" s="11"/>
    </row>
    <row r="395" spans="1:21">
      <c r="A395" s="11" t="s">
        <v>2466</v>
      </c>
      <c r="B395" s="11" t="s">
        <v>2467</v>
      </c>
      <c r="C395" s="11">
        <v>48927077000138</v>
      </c>
      <c r="E395" s="12" t="s">
        <v>23</v>
      </c>
      <c r="F395" s="12" t="s">
        <v>2468</v>
      </c>
      <c r="G395" s="11" t="s">
        <v>2469</v>
      </c>
      <c r="H395" s="11">
        <v>200</v>
      </c>
      <c r="I395" s="11" t="s">
        <v>1731</v>
      </c>
      <c r="J395" s="11">
        <v>60020030</v>
      </c>
      <c r="K395" s="11" t="s">
        <v>39</v>
      </c>
      <c r="L395" s="11" t="s">
        <v>437</v>
      </c>
      <c r="M395" s="11" t="s">
        <v>354</v>
      </c>
      <c r="P395" s="11" t="s">
        <v>2470</v>
      </c>
      <c r="Q395" s="13" t="s">
        <v>2471</v>
      </c>
      <c r="R395" s="11" t="s">
        <v>2472</v>
      </c>
      <c r="S395" s="12" t="s">
        <v>33</v>
      </c>
      <c r="T395" s="11" t="str">
        <f t="shared" si="12"/>
        <v>-3.7320876</v>
      </c>
      <c r="U395" s="11" t="str">
        <f t="shared" si="13"/>
        <v>-38.5323206</v>
      </c>
    </row>
    <row r="396" spans="1:21">
      <c r="A396" s="11" t="s">
        <v>2473</v>
      </c>
      <c r="B396" s="11" t="s">
        <v>2474</v>
      </c>
      <c r="C396" s="11">
        <v>53792770000180</v>
      </c>
      <c r="E396" s="12" t="s">
        <v>23</v>
      </c>
      <c r="F396" s="12" t="s">
        <v>2475</v>
      </c>
      <c r="G396" s="11" t="s">
        <v>2476</v>
      </c>
      <c r="H396" s="11">
        <v>615</v>
      </c>
      <c r="I396" s="11" t="s">
        <v>2477</v>
      </c>
      <c r="J396" s="11">
        <v>49820000</v>
      </c>
      <c r="K396" s="11" t="s">
        <v>39</v>
      </c>
      <c r="L396" s="11" t="s">
        <v>2478</v>
      </c>
      <c r="M396" s="11" t="s">
        <v>49</v>
      </c>
      <c r="P396" s="11" t="s">
        <v>2479</v>
      </c>
      <c r="Q396" s="13" t="s">
        <v>2480</v>
      </c>
      <c r="R396" s="11" t="s">
        <v>2481</v>
      </c>
      <c r="S396" s="12" t="s">
        <v>33</v>
      </c>
      <c r="T396" s="11" t="str">
        <f t="shared" si="12"/>
        <v>-9.6604477</v>
      </c>
      <c r="U396" s="11" t="str">
        <f t="shared" si="13"/>
        <v>-37.7895637</v>
      </c>
    </row>
    <row r="397" spans="1:21">
      <c r="A397" s="11" t="s">
        <v>2482</v>
      </c>
      <c r="B397" s="11" t="s">
        <v>2483</v>
      </c>
      <c r="C397" s="11">
        <v>47535714000591</v>
      </c>
      <c r="E397" s="12" t="s">
        <v>23</v>
      </c>
      <c r="F397" s="12" t="s">
        <v>2484</v>
      </c>
      <c r="G397" s="11" t="s">
        <v>2485</v>
      </c>
      <c r="H397" s="11">
        <v>5</v>
      </c>
      <c r="I397" s="11" t="s">
        <v>2486</v>
      </c>
      <c r="J397" s="11">
        <v>4462040</v>
      </c>
      <c r="K397" s="11" t="s">
        <v>2487</v>
      </c>
      <c r="L397" s="11" t="s">
        <v>77</v>
      </c>
      <c r="M397" s="11" t="s">
        <v>78</v>
      </c>
      <c r="P397" s="13" t="s">
        <v>2488</v>
      </c>
      <c r="Q397" s="13">
        <v>-2.36956238951684E+16</v>
      </c>
      <c r="R397" s="14">
        <v>-4666890791517960</v>
      </c>
      <c r="S397" s="12" t="s">
        <v>283</v>
      </c>
      <c r="T397" s="11" t="str">
        <f t="shared" si="12"/>
        <v>-23695623895168400</v>
      </c>
      <c r="U397" s="11" t="str">
        <f t="shared" si="13"/>
        <v>-4666890791517960</v>
      </c>
    </row>
    <row r="398" spans="1:21">
      <c r="A398" s="11" t="s">
        <v>2489</v>
      </c>
      <c r="B398" s="11" t="s">
        <v>2483</v>
      </c>
      <c r="C398" s="11">
        <v>47535714000400</v>
      </c>
      <c r="E398" s="12" t="s">
        <v>23</v>
      </c>
      <c r="F398" s="12" t="s">
        <v>2484</v>
      </c>
      <c r="G398" s="11" t="s">
        <v>2490</v>
      </c>
      <c r="H398" s="11">
        <v>553</v>
      </c>
      <c r="I398" s="11" t="s">
        <v>26</v>
      </c>
      <c r="J398" s="11">
        <v>4445140</v>
      </c>
      <c r="K398" s="11" t="s">
        <v>2491</v>
      </c>
      <c r="L398" s="11" t="s">
        <v>77</v>
      </c>
      <c r="M398" s="11" t="s">
        <v>78</v>
      </c>
      <c r="P398" s="11" t="s">
        <v>2492</v>
      </c>
      <c r="Q398" s="13">
        <v>-23.684127799999999</v>
      </c>
      <c r="R398" s="11">
        <v>-46.683922699999997</v>
      </c>
      <c r="S398" s="12" t="s">
        <v>70</v>
      </c>
      <c r="T398" s="11" t="str">
        <f t="shared" si="12"/>
        <v>-23.6841278</v>
      </c>
      <c r="U398" s="11" t="str">
        <f t="shared" si="13"/>
        <v>-46.6839227</v>
      </c>
    </row>
    <row r="399" spans="1:21">
      <c r="A399" s="11" t="s">
        <v>2493</v>
      </c>
      <c r="B399" s="11" t="s">
        <v>2483</v>
      </c>
      <c r="C399" s="11">
        <v>47535714000249</v>
      </c>
      <c r="E399" s="12" t="s">
        <v>23</v>
      </c>
      <c r="F399" s="12" t="s">
        <v>2484</v>
      </c>
      <c r="G399" s="11" t="s">
        <v>2272</v>
      </c>
      <c r="H399" s="11" t="s">
        <v>129</v>
      </c>
      <c r="I399" s="11" t="s">
        <v>2494</v>
      </c>
      <c r="J399" s="11">
        <v>4438140</v>
      </c>
      <c r="K399" s="11" t="s">
        <v>2274</v>
      </c>
      <c r="L399" s="11" t="s">
        <v>77</v>
      </c>
      <c r="M399" s="11" t="s">
        <v>78</v>
      </c>
      <c r="P399" s="11" t="s">
        <v>2275</v>
      </c>
      <c r="Q399" s="13">
        <v>-22.09055</v>
      </c>
      <c r="R399" s="11">
        <v>-47.832949999999997</v>
      </c>
      <c r="S399" s="12" t="s">
        <v>70</v>
      </c>
      <c r="T399" s="11" t="str">
        <f t="shared" si="12"/>
        <v>-22.09055</v>
      </c>
      <c r="U399" s="11" t="str">
        <f t="shared" si="13"/>
        <v>-47.83295</v>
      </c>
    </row>
    <row r="400" spans="1:21">
      <c r="A400" s="11" t="s">
        <v>2495</v>
      </c>
      <c r="B400" s="11" t="s">
        <v>2496</v>
      </c>
      <c r="C400" s="11">
        <v>48328481000195</v>
      </c>
      <c r="E400" s="12" t="s">
        <v>23</v>
      </c>
      <c r="F400" s="12" t="s">
        <v>2497</v>
      </c>
      <c r="G400" s="11" t="s">
        <v>2498</v>
      </c>
      <c r="H400" s="11">
        <v>850</v>
      </c>
      <c r="I400" s="11" t="s">
        <v>26</v>
      </c>
      <c r="J400" s="11">
        <v>32110005</v>
      </c>
      <c r="K400" s="11" t="s">
        <v>2499</v>
      </c>
      <c r="L400" s="11" t="s">
        <v>2500</v>
      </c>
      <c r="M400" s="11" t="s">
        <v>404</v>
      </c>
      <c r="P400" s="11" t="s">
        <v>2501</v>
      </c>
      <c r="Q400" s="13">
        <v>-19.8813867</v>
      </c>
      <c r="R400" s="11">
        <v>-44.035940799999999</v>
      </c>
      <c r="S400" s="12" t="s">
        <v>70</v>
      </c>
      <c r="T400" s="11" t="str">
        <f t="shared" si="12"/>
        <v>-19.8813867</v>
      </c>
      <c r="U400" s="11" t="str">
        <f t="shared" si="13"/>
        <v>-44.0359408</v>
      </c>
    </row>
    <row r="401" spans="1:21">
      <c r="A401" s="11" t="s">
        <v>2502</v>
      </c>
      <c r="B401" s="11" t="s">
        <v>2503</v>
      </c>
      <c r="C401" s="11">
        <v>53829466000160</v>
      </c>
      <c r="E401" s="12" t="s">
        <v>23</v>
      </c>
      <c r="F401" s="12" t="s">
        <v>913</v>
      </c>
      <c r="G401" s="11" t="s">
        <v>2504</v>
      </c>
      <c r="H401" s="11">
        <v>5353</v>
      </c>
      <c r="I401" s="11" t="s">
        <v>2505</v>
      </c>
      <c r="J401" s="11">
        <v>29145910</v>
      </c>
      <c r="K401" s="11" t="s">
        <v>2506</v>
      </c>
      <c r="L401" s="11" t="s">
        <v>1226</v>
      </c>
      <c r="M401" s="11" t="s">
        <v>918</v>
      </c>
      <c r="P401" s="11" t="s">
        <v>2507</v>
      </c>
      <c r="Q401" s="13" t="s">
        <v>2508</v>
      </c>
      <c r="R401" s="11" t="s">
        <v>2509</v>
      </c>
      <c r="S401" s="12" t="s">
        <v>33</v>
      </c>
      <c r="T401" s="11" t="str">
        <f t="shared" si="12"/>
        <v>-20.3438378</v>
      </c>
      <c r="U401" s="11" t="str">
        <f t="shared" si="13"/>
        <v>-40.4002431</v>
      </c>
    </row>
    <row r="402" spans="1:21">
      <c r="A402" s="11" t="s">
        <v>2510</v>
      </c>
      <c r="B402" s="11" t="s">
        <v>2511</v>
      </c>
      <c r="C402" s="11">
        <v>42932711000144</v>
      </c>
      <c r="E402" s="12" t="s">
        <v>23</v>
      </c>
      <c r="F402" s="12" t="s">
        <v>2512</v>
      </c>
      <c r="G402" s="11" t="s">
        <v>2513</v>
      </c>
      <c r="H402" s="11">
        <v>46</v>
      </c>
      <c r="I402" s="11" t="s">
        <v>26</v>
      </c>
      <c r="J402" s="11">
        <v>57975000</v>
      </c>
      <c r="K402" s="11" t="s">
        <v>39</v>
      </c>
      <c r="L402" s="11" t="s">
        <v>2514</v>
      </c>
      <c r="M402" s="11" t="s">
        <v>147</v>
      </c>
      <c r="P402" s="11" t="s">
        <v>2515</v>
      </c>
      <c r="Q402" s="13" t="s">
        <v>2516</v>
      </c>
      <c r="R402" s="11" t="s">
        <v>2517</v>
      </c>
      <c r="S402" s="12" t="s">
        <v>33</v>
      </c>
      <c r="T402" s="11" t="str">
        <f t="shared" si="12"/>
        <v>-8.9144649</v>
      </c>
      <c r="U402" s="11" t="str">
        <f t="shared" si="13"/>
        <v>-35.7220255</v>
      </c>
    </row>
    <row r="403" spans="1:21">
      <c r="A403" s="11" t="s">
        <v>2518</v>
      </c>
      <c r="B403" s="11" t="s">
        <v>2519</v>
      </c>
      <c r="C403" s="11">
        <v>28380121000125</v>
      </c>
      <c r="E403" s="12" t="s">
        <v>23</v>
      </c>
      <c r="F403" s="12" t="s">
        <v>2520</v>
      </c>
      <c r="G403" s="11" t="s">
        <v>2521</v>
      </c>
      <c r="H403" s="11">
        <v>235</v>
      </c>
      <c r="I403" s="11" t="s">
        <v>26</v>
      </c>
      <c r="J403" s="11">
        <v>63704185</v>
      </c>
      <c r="K403" s="11" t="s">
        <v>2522</v>
      </c>
      <c r="L403" s="11" t="s">
        <v>2523</v>
      </c>
      <c r="M403" s="11" t="s">
        <v>354</v>
      </c>
      <c r="P403" s="11" t="s">
        <v>2524</v>
      </c>
      <c r="Q403" s="13">
        <v>-5.1783299999999999</v>
      </c>
      <c r="R403" s="11">
        <v>-40.677500000000002</v>
      </c>
      <c r="S403" s="12" t="s">
        <v>70</v>
      </c>
      <c r="T403" s="11" t="str">
        <f t="shared" si="12"/>
        <v>-5.17833</v>
      </c>
      <c r="U403" s="11" t="str">
        <f t="shared" si="13"/>
        <v>-40.6775</v>
      </c>
    </row>
    <row r="404" spans="1:21">
      <c r="A404" s="11" t="s">
        <v>2525</v>
      </c>
      <c r="B404" s="11" t="s">
        <v>2526</v>
      </c>
      <c r="C404" s="11">
        <v>51770985000175</v>
      </c>
      <c r="E404" s="12" t="s">
        <v>23</v>
      </c>
      <c r="F404" s="12" t="s">
        <v>2527</v>
      </c>
      <c r="G404" s="11" t="s">
        <v>2528</v>
      </c>
      <c r="H404" s="11">
        <v>98</v>
      </c>
      <c r="I404" s="11" t="s">
        <v>26</v>
      </c>
      <c r="J404" s="11">
        <v>56520000</v>
      </c>
      <c r="K404" s="11" t="s">
        <v>39</v>
      </c>
      <c r="L404" s="11" t="s">
        <v>2529</v>
      </c>
      <c r="M404" s="11" t="s">
        <v>29</v>
      </c>
      <c r="P404" s="11" t="s">
        <v>2530</v>
      </c>
      <c r="Q404" s="13" t="s">
        <v>2531</v>
      </c>
      <c r="R404" s="11" t="s">
        <v>2532</v>
      </c>
      <c r="S404" s="12" t="s">
        <v>33</v>
      </c>
      <c r="T404" s="11" t="str">
        <f t="shared" si="12"/>
        <v>-8.6239732</v>
      </c>
      <c r="U404" s="11" t="str">
        <f t="shared" si="13"/>
        <v>-37.1572960</v>
      </c>
    </row>
    <row r="405" spans="1:21">
      <c r="A405" s="11" t="s">
        <v>2533</v>
      </c>
      <c r="B405" s="11" t="s">
        <v>2534</v>
      </c>
      <c r="C405" s="11">
        <v>53911452000191</v>
      </c>
      <c r="E405" s="12" t="s">
        <v>23</v>
      </c>
      <c r="F405" s="12" t="s">
        <v>2535</v>
      </c>
      <c r="G405" s="11" t="s">
        <v>2536</v>
      </c>
      <c r="H405" s="11">
        <v>58</v>
      </c>
      <c r="I405" s="11" t="s">
        <v>66</v>
      </c>
      <c r="J405" s="11">
        <v>56220000</v>
      </c>
      <c r="K405" s="11" t="s">
        <v>39</v>
      </c>
      <c r="L405" s="11" t="s">
        <v>2537</v>
      </c>
      <c r="M405" s="11" t="s">
        <v>29</v>
      </c>
      <c r="P405" s="11" t="s">
        <v>2538</v>
      </c>
      <c r="Q405" s="13" t="s">
        <v>2539</v>
      </c>
      <c r="R405" s="11" t="s">
        <v>2540</v>
      </c>
      <c r="S405" s="12" t="s">
        <v>33</v>
      </c>
      <c r="T405" s="11" t="str">
        <f t="shared" si="12"/>
        <v>-7.7775920</v>
      </c>
      <c r="U405" s="11" t="str">
        <f t="shared" si="13"/>
        <v>-39.9337970</v>
      </c>
    </row>
    <row r="406" spans="1:21">
      <c r="A406" s="11" t="s">
        <v>2541</v>
      </c>
      <c r="B406" s="11" t="s">
        <v>2542</v>
      </c>
      <c r="C406" s="11">
        <v>52466338000137</v>
      </c>
      <c r="E406" s="12" t="s">
        <v>23</v>
      </c>
      <c r="F406" s="12" t="s">
        <v>2543</v>
      </c>
      <c r="G406" s="11" t="s">
        <v>2092</v>
      </c>
      <c r="H406" s="11">
        <v>268</v>
      </c>
      <c r="I406" s="11" t="s">
        <v>26</v>
      </c>
      <c r="J406" s="11">
        <v>89251000</v>
      </c>
      <c r="K406" s="11" t="s">
        <v>39</v>
      </c>
      <c r="L406" s="11" t="s">
        <v>2544</v>
      </c>
      <c r="M406" s="11" t="s">
        <v>105</v>
      </c>
      <c r="P406" s="11" t="s">
        <v>2545</v>
      </c>
      <c r="Q406" s="13" t="s">
        <v>2546</v>
      </c>
      <c r="R406" s="11" t="s">
        <v>2547</v>
      </c>
      <c r="S406" s="12" t="s">
        <v>33</v>
      </c>
      <c r="T406" s="11" t="str">
        <f t="shared" si="12"/>
        <v>-26.4787983</v>
      </c>
      <c r="U406" s="11" t="str">
        <f t="shared" si="13"/>
        <v>-49.0878233</v>
      </c>
    </row>
    <row r="407" spans="1:21">
      <c r="A407" s="11" t="s">
        <v>2548</v>
      </c>
      <c r="B407" s="11" t="s">
        <v>2391</v>
      </c>
      <c r="C407" s="11">
        <v>35407064000196</v>
      </c>
      <c r="E407" s="12" t="s">
        <v>23</v>
      </c>
      <c r="F407" s="12" t="s">
        <v>2392</v>
      </c>
      <c r="G407" s="11" t="s">
        <v>2393</v>
      </c>
      <c r="H407" s="11">
        <v>161</v>
      </c>
      <c r="I407" s="11" t="s">
        <v>2549</v>
      </c>
      <c r="J407" s="11">
        <v>55500000</v>
      </c>
      <c r="K407" s="11" t="s">
        <v>39</v>
      </c>
      <c r="L407" s="11" t="s">
        <v>2395</v>
      </c>
      <c r="M407" s="11" t="s">
        <v>29</v>
      </c>
      <c r="P407" s="11" t="s">
        <v>2396</v>
      </c>
      <c r="Q407" s="13">
        <v>-8.3638388999999993</v>
      </c>
      <c r="R407" s="11">
        <v>-35.235437599999997</v>
      </c>
      <c r="S407" s="12" t="s">
        <v>70</v>
      </c>
      <c r="T407" s="11" t="str">
        <f t="shared" si="12"/>
        <v>-8.3638389</v>
      </c>
      <c r="U407" s="11" t="str">
        <f t="shared" si="13"/>
        <v>-35.2354376</v>
      </c>
    </row>
    <row r="408" spans="1:21">
      <c r="A408" s="11" t="s">
        <v>2550</v>
      </c>
      <c r="B408" s="11" t="s">
        <v>2551</v>
      </c>
      <c r="C408" s="11">
        <v>33740525000112</v>
      </c>
      <c r="E408" s="12" t="s">
        <v>23</v>
      </c>
      <c r="F408" s="12" t="s">
        <v>2552</v>
      </c>
      <c r="G408" s="11" t="s">
        <v>2553</v>
      </c>
      <c r="H408" s="11">
        <v>443</v>
      </c>
      <c r="I408" s="11" t="s">
        <v>26</v>
      </c>
      <c r="J408" s="11">
        <v>66010105</v>
      </c>
      <c r="K408" s="11" t="s">
        <v>2554</v>
      </c>
      <c r="L408" s="11" t="s">
        <v>2555</v>
      </c>
      <c r="M408" s="11" t="s">
        <v>78</v>
      </c>
      <c r="P408" s="11" t="s">
        <v>2556</v>
      </c>
      <c r="Q408" s="13" t="s">
        <v>2557</v>
      </c>
      <c r="R408" s="11" t="s">
        <v>2558</v>
      </c>
      <c r="S408" s="12" t="s">
        <v>33</v>
      </c>
      <c r="T408" s="11" t="str">
        <f t="shared" si="12"/>
        <v>-1.4488373</v>
      </c>
      <c r="U408" s="11" t="str">
        <f t="shared" si="13"/>
        <v>-48.4975525</v>
      </c>
    </row>
    <row r="409" spans="1:21">
      <c r="A409" s="11" t="s">
        <v>2559</v>
      </c>
      <c r="B409" s="11" t="s">
        <v>2560</v>
      </c>
      <c r="C409" s="11">
        <v>53613044000153</v>
      </c>
      <c r="E409" s="12" t="s">
        <v>23</v>
      </c>
      <c r="F409" s="12" t="s">
        <v>2561</v>
      </c>
      <c r="G409" s="11" t="s">
        <v>2562</v>
      </c>
      <c r="H409" s="11">
        <v>333</v>
      </c>
      <c r="I409" s="11" t="s">
        <v>26</v>
      </c>
      <c r="J409" s="11">
        <v>37500018</v>
      </c>
      <c r="K409" s="11" t="s">
        <v>39</v>
      </c>
      <c r="L409" s="11" t="s">
        <v>2563</v>
      </c>
      <c r="M409" s="11" t="s">
        <v>404</v>
      </c>
      <c r="P409" s="11" t="s">
        <v>2564</v>
      </c>
      <c r="Q409" s="13" t="s">
        <v>2565</v>
      </c>
      <c r="R409" s="11" t="s">
        <v>2566</v>
      </c>
      <c r="S409" s="12" t="s">
        <v>33</v>
      </c>
      <c r="T409" s="11" t="str">
        <f t="shared" si="12"/>
        <v>-22.4247153</v>
      </c>
      <c r="U409" s="11" t="str">
        <f t="shared" si="13"/>
        <v>-45.4562521</v>
      </c>
    </row>
    <row r="410" spans="1:21">
      <c r="A410" s="11" t="s">
        <v>2567</v>
      </c>
      <c r="B410" s="11" t="s">
        <v>2568</v>
      </c>
      <c r="C410" s="11">
        <v>42423116000183</v>
      </c>
      <c r="E410" s="12" t="s">
        <v>23</v>
      </c>
      <c r="F410" s="12" t="s">
        <v>685</v>
      </c>
      <c r="G410" s="11" t="s">
        <v>686</v>
      </c>
      <c r="H410" s="11">
        <v>2751</v>
      </c>
      <c r="I410" s="11" t="s">
        <v>1331</v>
      </c>
      <c r="J410" s="11">
        <v>6455000</v>
      </c>
      <c r="K410" s="11" t="s">
        <v>688</v>
      </c>
      <c r="L410" s="11" t="s">
        <v>689</v>
      </c>
      <c r="M410" s="11" t="s">
        <v>78</v>
      </c>
      <c r="P410" s="11" t="s">
        <v>690</v>
      </c>
      <c r="Q410" s="13">
        <v>-23.510560000000002</v>
      </c>
      <c r="R410" s="11">
        <v>-46.876109999999997</v>
      </c>
      <c r="S410" s="12" t="s">
        <v>70</v>
      </c>
      <c r="T410" s="11" t="str">
        <f t="shared" si="12"/>
        <v>-23.51056</v>
      </c>
      <c r="U410" s="11" t="str">
        <f t="shared" si="13"/>
        <v>-46.87611</v>
      </c>
    </row>
    <row r="411" spans="1:21">
      <c r="A411" s="11" t="s">
        <v>2569</v>
      </c>
      <c r="B411" s="11" t="s">
        <v>2570</v>
      </c>
      <c r="C411" s="11">
        <v>54550943000117</v>
      </c>
      <c r="E411" s="12" t="s">
        <v>23</v>
      </c>
      <c r="F411" s="12" t="s">
        <v>2571</v>
      </c>
      <c r="G411" s="11" t="s">
        <v>2572</v>
      </c>
      <c r="H411" s="11">
        <v>528</v>
      </c>
      <c r="I411" s="11" t="s">
        <v>26</v>
      </c>
      <c r="J411" s="11">
        <v>64180000</v>
      </c>
      <c r="K411" s="11" t="s">
        <v>39</v>
      </c>
      <c r="L411" s="11" t="s">
        <v>2573</v>
      </c>
      <c r="M411" s="11" t="s">
        <v>391</v>
      </c>
      <c r="P411" s="11" t="s">
        <v>2574</v>
      </c>
      <c r="Q411" s="13" t="s">
        <v>2575</v>
      </c>
      <c r="R411" s="11" t="s">
        <v>2576</v>
      </c>
      <c r="S411" s="12" t="s">
        <v>33</v>
      </c>
      <c r="T411" s="11" t="str">
        <f t="shared" si="12"/>
        <v>-3.8950963</v>
      </c>
      <c r="U411" s="11" t="str">
        <f t="shared" si="13"/>
        <v>-42.2370595</v>
      </c>
    </row>
    <row r="412" spans="1:21">
      <c r="A412" s="11" t="s">
        <v>2577</v>
      </c>
      <c r="B412" s="11" t="s">
        <v>2578</v>
      </c>
      <c r="C412" s="11">
        <v>42525917000150</v>
      </c>
      <c r="E412" s="12" t="s">
        <v>23</v>
      </c>
      <c r="F412" s="12" t="s">
        <v>2283</v>
      </c>
      <c r="G412" s="11" t="s">
        <v>2284</v>
      </c>
      <c r="H412" s="11">
        <v>572</v>
      </c>
      <c r="I412" s="11" t="s">
        <v>26</v>
      </c>
      <c r="J412" s="11">
        <v>62370000</v>
      </c>
      <c r="K412" s="11" t="s">
        <v>39</v>
      </c>
      <c r="L412" s="11" t="s">
        <v>2215</v>
      </c>
      <c r="M412" s="11" t="s">
        <v>354</v>
      </c>
      <c r="P412" s="11" t="s">
        <v>2285</v>
      </c>
      <c r="Q412" s="13" t="s">
        <v>2286</v>
      </c>
      <c r="R412" s="11" t="s">
        <v>2287</v>
      </c>
      <c r="S412" s="12" t="s">
        <v>33</v>
      </c>
      <c r="T412" s="11" t="str">
        <f t="shared" si="12"/>
        <v>-4.0484353</v>
      </c>
      <c r="U412" s="11" t="str">
        <f t="shared" si="13"/>
        <v>-40.8646009</v>
      </c>
    </row>
    <row r="413" spans="1:21">
      <c r="A413" s="11" t="s">
        <v>2579</v>
      </c>
      <c r="B413" s="11" t="s">
        <v>2580</v>
      </c>
      <c r="C413" s="11">
        <v>53922945000127</v>
      </c>
      <c r="E413" s="12" t="s">
        <v>23</v>
      </c>
      <c r="F413" s="12" t="s">
        <v>2581</v>
      </c>
      <c r="G413" s="11" t="s">
        <v>2582</v>
      </c>
      <c r="H413" s="11">
        <v>1501</v>
      </c>
      <c r="I413" s="11" t="s">
        <v>2583</v>
      </c>
      <c r="J413" s="11">
        <v>4260020</v>
      </c>
      <c r="K413" s="11" t="s">
        <v>2584</v>
      </c>
      <c r="L413" s="11" t="s">
        <v>411</v>
      </c>
      <c r="M413" s="11" t="s">
        <v>78</v>
      </c>
      <c r="P413" s="13" t="s">
        <v>2585</v>
      </c>
      <c r="Q413" s="13">
        <v>-2.35899136402354E+16</v>
      </c>
      <c r="R413" s="14">
        <v>-4661936331887320</v>
      </c>
      <c r="S413" s="12" t="s">
        <v>283</v>
      </c>
      <c r="T413" s="11" t="str">
        <f t="shared" si="12"/>
        <v>-23589913640235400</v>
      </c>
      <c r="U413" s="11" t="str">
        <f t="shared" si="13"/>
        <v>-4661936331887320</v>
      </c>
    </row>
    <row r="414" spans="1:21">
      <c r="A414" s="11" t="s">
        <v>2586</v>
      </c>
      <c r="B414" s="11" t="s">
        <v>2587</v>
      </c>
      <c r="C414" s="11">
        <v>54250132000109</v>
      </c>
      <c r="E414" s="12" t="s">
        <v>23</v>
      </c>
      <c r="F414" s="12" t="s">
        <v>1933</v>
      </c>
      <c r="G414" s="11" t="s">
        <v>2588</v>
      </c>
      <c r="H414" s="11">
        <v>1501</v>
      </c>
      <c r="I414" s="11" t="s">
        <v>26</v>
      </c>
      <c r="J414" s="11">
        <v>38020433</v>
      </c>
      <c r="K414" s="11" t="s">
        <v>2215</v>
      </c>
      <c r="L414" s="11" t="s">
        <v>2589</v>
      </c>
      <c r="M414" s="11" t="s">
        <v>404</v>
      </c>
      <c r="P414" s="11" t="s">
        <v>2590</v>
      </c>
      <c r="Q414" s="13" t="s">
        <v>2591</v>
      </c>
      <c r="R414" s="11" t="s">
        <v>2592</v>
      </c>
      <c r="S414" s="12" t="s">
        <v>33</v>
      </c>
      <c r="T414" s="11" t="str">
        <f t="shared" si="12"/>
        <v>-19.7686521</v>
      </c>
      <c r="U414" s="11" t="str">
        <f t="shared" si="13"/>
        <v>-47.9552593</v>
      </c>
    </row>
    <row r="415" spans="1:21">
      <c r="A415" s="11" t="s">
        <v>2593</v>
      </c>
      <c r="B415" s="11" t="s">
        <v>2594</v>
      </c>
      <c r="C415" s="11">
        <v>50383398000160</v>
      </c>
      <c r="E415" s="12" t="s">
        <v>23</v>
      </c>
      <c r="F415" s="12" t="s">
        <v>2595</v>
      </c>
      <c r="G415" s="11" t="s">
        <v>2596</v>
      </c>
      <c r="H415" s="11" t="s">
        <v>2597</v>
      </c>
      <c r="I415" s="11" t="s">
        <v>541</v>
      </c>
      <c r="J415" s="11">
        <v>74973753</v>
      </c>
      <c r="K415" s="11" t="s">
        <v>2598</v>
      </c>
      <c r="L415" s="11" t="s">
        <v>2599</v>
      </c>
      <c r="M415" s="11" t="s">
        <v>723</v>
      </c>
      <c r="P415" s="11" t="s">
        <v>2600</v>
      </c>
      <c r="Q415" s="13" t="s">
        <v>2601</v>
      </c>
      <c r="R415" s="11" t="s">
        <v>2602</v>
      </c>
      <c r="S415" s="12" t="s">
        <v>33</v>
      </c>
      <c r="T415" s="11" t="str">
        <f t="shared" si="12"/>
        <v>-16.8227711</v>
      </c>
      <c r="U415" s="11" t="str">
        <f t="shared" si="13"/>
        <v>-49.2542071</v>
      </c>
    </row>
    <row r="416" spans="1:21">
      <c r="A416" s="11" t="s">
        <v>2603</v>
      </c>
      <c r="B416" s="11" t="s">
        <v>2604</v>
      </c>
      <c r="C416" s="11">
        <v>54237022000107</v>
      </c>
      <c r="E416" s="12" t="s">
        <v>23</v>
      </c>
      <c r="F416" s="12" t="s">
        <v>1933</v>
      </c>
      <c r="G416" s="11" t="s">
        <v>2605</v>
      </c>
      <c r="H416" s="11">
        <v>15</v>
      </c>
      <c r="I416" s="11" t="s">
        <v>2606</v>
      </c>
      <c r="J416" s="11">
        <v>38411145</v>
      </c>
      <c r="K416" s="11" t="s">
        <v>2607</v>
      </c>
      <c r="L416" s="11" t="s">
        <v>2048</v>
      </c>
      <c r="M416" s="11" t="s">
        <v>404</v>
      </c>
      <c r="P416" s="11" t="s">
        <v>2608</v>
      </c>
      <c r="Q416" s="13" t="s">
        <v>2609</v>
      </c>
      <c r="R416" s="11" t="s">
        <v>2610</v>
      </c>
      <c r="S416" s="12" t="s">
        <v>33</v>
      </c>
      <c r="T416" s="11" t="str">
        <f t="shared" si="12"/>
        <v>-18.9556599</v>
      </c>
      <c r="U416" s="11" t="str">
        <f t="shared" si="13"/>
        <v>-48.2776805</v>
      </c>
    </row>
    <row r="417" spans="1:21">
      <c r="A417" s="11" t="s">
        <v>2611</v>
      </c>
      <c r="B417" s="11" t="s">
        <v>2612</v>
      </c>
      <c r="C417" s="11">
        <v>51691881000175</v>
      </c>
      <c r="E417" s="12" t="s">
        <v>23</v>
      </c>
      <c r="F417" s="12" t="s">
        <v>2613</v>
      </c>
      <c r="G417" s="11" t="s">
        <v>2614</v>
      </c>
      <c r="H417" s="11">
        <v>2658</v>
      </c>
      <c r="I417" s="11" t="s">
        <v>2615</v>
      </c>
      <c r="J417" s="11">
        <v>76870520</v>
      </c>
      <c r="K417" s="11" t="s">
        <v>2616</v>
      </c>
      <c r="L417" s="11" t="s">
        <v>2617</v>
      </c>
      <c r="M417" s="11" t="s">
        <v>2618</v>
      </c>
      <c r="P417" s="11" t="s">
        <v>2619</v>
      </c>
      <c r="Q417" s="13">
        <v>-9.9133300000000002</v>
      </c>
      <c r="R417" s="11">
        <v>-63.04083</v>
      </c>
      <c r="S417" s="12" t="s">
        <v>70</v>
      </c>
      <c r="T417" s="11" t="str">
        <f t="shared" si="12"/>
        <v>-9.91333</v>
      </c>
      <c r="U417" s="11" t="str">
        <f t="shared" si="13"/>
        <v>-63.04083</v>
      </c>
    </row>
    <row r="418" spans="1:21">
      <c r="A418" s="11" t="s">
        <v>2620</v>
      </c>
      <c r="B418" s="11" t="s">
        <v>2004</v>
      </c>
      <c r="C418" s="11">
        <v>42179797000267</v>
      </c>
      <c r="E418" s="12" t="s">
        <v>23</v>
      </c>
      <c r="F418" s="12" t="s">
        <v>2005</v>
      </c>
      <c r="G418" s="11" t="s">
        <v>2621</v>
      </c>
      <c r="H418" s="11">
        <v>1526</v>
      </c>
      <c r="I418" s="11" t="s">
        <v>26</v>
      </c>
      <c r="J418" s="11">
        <v>96085000</v>
      </c>
      <c r="K418" s="11" t="s">
        <v>2622</v>
      </c>
      <c r="L418" s="11" t="s">
        <v>2007</v>
      </c>
      <c r="M418" s="11" t="s">
        <v>535</v>
      </c>
      <c r="P418" s="11" t="s">
        <v>2623</v>
      </c>
      <c r="Q418" s="13" t="s">
        <v>2624</v>
      </c>
      <c r="R418" s="11" t="s">
        <v>2625</v>
      </c>
      <c r="S418" s="12" t="s">
        <v>33</v>
      </c>
      <c r="T418" s="11" t="str">
        <f t="shared" si="12"/>
        <v>-31.7521713</v>
      </c>
      <c r="U418" s="11" t="str">
        <f t="shared" si="13"/>
        <v>-52.2960308</v>
      </c>
    </row>
    <row r="419" spans="1:21">
      <c r="A419" s="11" t="s">
        <v>2626</v>
      </c>
      <c r="B419" s="11" t="s">
        <v>2627</v>
      </c>
      <c r="C419" s="11">
        <v>22744356000172</v>
      </c>
      <c r="E419" s="12" t="s">
        <v>23</v>
      </c>
      <c r="F419" s="12" t="s">
        <v>2628</v>
      </c>
      <c r="G419" s="11" t="s">
        <v>2629</v>
      </c>
      <c r="H419" s="11">
        <v>990</v>
      </c>
      <c r="I419" s="11" t="s">
        <v>26</v>
      </c>
      <c r="J419" s="11">
        <v>49000620</v>
      </c>
      <c r="K419" s="11" t="s">
        <v>2630</v>
      </c>
      <c r="L419" s="11" t="s">
        <v>48</v>
      </c>
      <c r="M419" s="11" t="s">
        <v>49</v>
      </c>
      <c r="P419" s="11" t="s">
        <v>2631</v>
      </c>
      <c r="Q419" s="13" t="s">
        <v>2632</v>
      </c>
      <c r="R419" s="11" t="s">
        <v>2633</v>
      </c>
      <c r="S419" s="12" t="s">
        <v>33</v>
      </c>
      <c r="T419" s="11" t="str">
        <f t="shared" si="12"/>
        <v>-11.0075079</v>
      </c>
      <c r="U419" s="11" t="str">
        <f t="shared" si="13"/>
        <v>-37.0880695</v>
      </c>
    </row>
    <row r="420" spans="1:21">
      <c r="P420" s="11"/>
    </row>
    <row r="421" spans="1:21">
      <c r="A421" s="11" t="s">
        <v>2634</v>
      </c>
      <c r="B421" s="11" t="s">
        <v>2635</v>
      </c>
      <c r="C421" s="11">
        <v>54133931000197</v>
      </c>
      <c r="E421" s="12" t="s">
        <v>23</v>
      </c>
      <c r="F421" s="12" t="s">
        <v>2636</v>
      </c>
      <c r="G421" s="11" t="s">
        <v>2637</v>
      </c>
      <c r="H421" s="11" t="s">
        <v>2638</v>
      </c>
      <c r="I421" s="11" t="s">
        <v>2639</v>
      </c>
      <c r="J421" s="11">
        <v>49360000</v>
      </c>
      <c r="K421" s="11" t="s">
        <v>39</v>
      </c>
      <c r="L421" s="11" t="s">
        <v>2439</v>
      </c>
      <c r="M421" s="11" t="s">
        <v>49</v>
      </c>
      <c r="P421" s="11" t="s">
        <v>2440</v>
      </c>
      <c r="Q421" s="13">
        <v>-11.1462311</v>
      </c>
      <c r="R421" s="11">
        <v>-37.620951499999997</v>
      </c>
      <c r="S421" s="12" t="s">
        <v>70</v>
      </c>
      <c r="T421" s="11" t="str">
        <f t="shared" si="12"/>
        <v>-11.1462311</v>
      </c>
      <c r="U421" s="11" t="str">
        <f t="shared" si="13"/>
        <v>-37.6209515</v>
      </c>
    </row>
    <row r="422" spans="1:21">
      <c r="A422" s="11" t="s">
        <v>2640</v>
      </c>
      <c r="B422" s="11" t="s">
        <v>2125</v>
      </c>
      <c r="C422" s="11">
        <v>51203395000160</v>
      </c>
      <c r="E422" s="12" t="s">
        <v>23</v>
      </c>
      <c r="F422" s="12" t="s">
        <v>302</v>
      </c>
      <c r="G422" s="11" t="s">
        <v>2641</v>
      </c>
      <c r="H422" s="11">
        <v>1300</v>
      </c>
      <c r="I422" s="11" t="s">
        <v>1010</v>
      </c>
      <c r="J422" s="11">
        <v>58200000</v>
      </c>
      <c r="K422" s="11" t="s">
        <v>2127</v>
      </c>
      <c r="L422" s="11" t="s">
        <v>2128</v>
      </c>
      <c r="M422" s="11" t="s">
        <v>187</v>
      </c>
      <c r="P422" s="11" t="s">
        <v>2129</v>
      </c>
      <c r="Q422" s="13" t="s">
        <v>2130</v>
      </c>
      <c r="R422" s="11" t="s">
        <v>2642</v>
      </c>
      <c r="S422" s="12" t="s">
        <v>33</v>
      </c>
      <c r="T422" s="11" t="str">
        <f t="shared" si="12"/>
        <v>-6.8513982</v>
      </c>
      <c r="U422" s="11" t="str">
        <f t="shared" si="13"/>
        <v>-35.4915582</v>
      </c>
    </row>
    <row r="423" spans="1:21">
      <c r="A423" s="11" t="s">
        <v>2643</v>
      </c>
      <c r="B423" s="11" t="s">
        <v>2125</v>
      </c>
      <c r="C423" s="11">
        <v>51203395000160</v>
      </c>
      <c r="E423" s="12" t="s">
        <v>23</v>
      </c>
      <c r="F423" s="12" t="s">
        <v>302</v>
      </c>
      <c r="G423" s="11" t="s">
        <v>897</v>
      </c>
      <c r="H423" s="11">
        <v>3150</v>
      </c>
      <c r="I423" s="11" t="s">
        <v>1010</v>
      </c>
      <c r="J423" s="11">
        <v>58100001</v>
      </c>
      <c r="K423" s="11" t="s">
        <v>2644</v>
      </c>
      <c r="L423" s="11" t="s">
        <v>186</v>
      </c>
      <c r="M423" s="11" t="s">
        <v>187</v>
      </c>
      <c r="P423" s="11" t="s">
        <v>2645</v>
      </c>
      <c r="Q423" s="13">
        <v>-7.2337765000000003</v>
      </c>
      <c r="R423" s="11">
        <v>-35.915195300000001</v>
      </c>
      <c r="S423" s="12" t="s">
        <v>70</v>
      </c>
      <c r="T423" s="11" t="str">
        <f t="shared" si="12"/>
        <v>-7.2337765</v>
      </c>
      <c r="U423" s="11" t="str">
        <f t="shared" si="13"/>
        <v>-35.9151953</v>
      </c>
    </row>
    <row r="424" spans="1:21">
      <c r="A424" s="11" t="s">
        <v>2646</v>
      </c>
      <c r="B424" s="11" t="s">
        <v>2647</v>
      </c>
      <c r="C424" s="11">
        <v>53067248000136</v>
      </c>
      <c r="E424" s="12" t="s">
        <v>23</v>
      </c>
      <c r="F424" s="12" t="s">
        <v>2648</v>
      </c>
      <c r="G424" s="11" t="s">
        <v>2649</v>
      </c>
      <c r="H424" s="11">
        <v>398</v>
      </c>
      <c r="I424" s="11" t="s">
        <v>978</v>
      </c>
      <c r="J424" s="11">
        <v>13467690</v>
      </c>
      <c r="K424" s="11" t="s">
        <v>2650</v>
      </c>
      <c r="L424" s="11" t="s">
        <v>2651</v>
      </c>
      <c r="M424" s="11" t="s">
        <v>78</v>
      </c>
      <c r="P424" s="11" t="s">
        <v>2652</v>
      </c>
      <c r="Q424" s="13" t="s">
        <v>2653</v>
      </c>
      <c r="R424" s="11" t="s">
        <v>2654</v>
      </c>
      <c r="S424" s="12" t="s">
        <v>33</v>
      </c>
      <c r="T424" s="11" t="str">
        <f t="shared" si="12"/>
        <v>-22.7801976</v>
      </c>
      <c r="U424" s="11" t="str">
        <f t="shared" si="13"/>
        <v>-47.3514366</v>
      </c>
    </row>
    <row r="425" spans="1:21">
      <c r="A425" s="11" t="s">
        <v>2655</v>
      </c>
      <c r="B425" s="11" t="s">
        <v>2656</v>
      </c>
      <c r="C425" s="11">
        <v>42493447000190</v>
      </c>
      <c r="E425" s="12" t="s">
        <v>23</v>
      </c>
      <c r="F425" s="12" t="s">
        <v>446</v>
      </c>
      <c r="G425" s="11" t="s">
        <v>2657</v>
      </c>
      <c r="H425" s="11">
        <v>264</v>
      </c>
      <c r="I425" s="11" t="s">
        <v>26</v>
      </c>
      <c r="J425" s="11">
        <v>60871170</v>
      </c>
      <c r="K425" s="11" t="s">
        <v>465</v>
      </c>
      <c r="L425" s="11" t="s">
        <v>437</v>
      </c>
      <c r="M425" s="11" t="s">
        <v>354</v>
      </c>
      <c r="P425" s="11" t="s">
        <v>2658</v>
      </c>
      <c r="Q425" s="13" t="s">
        <v>2659</v>
      </c>
      <c r="R425" s="11" t="s">
        <v>2660</v>
      </c>
      <c r="S425" s="12" t="s">
        <v>33</v>
      </c>
      <c r="T425" s="11" t="str">
        <f t="shared" si="12"/>
        <v>-3.8331146</v>
      </c>
      <c r="U425" s="11" t="str">
        <f t="shared" si="13"/>
        <v>-38.4914614</v>
      </c>
    </row>
    <row r="426" spans="1:21">
      <c r="A426" s="11" t="s">
        <v>2661</v>
      </c>
      <c r="B426" s="11" t="s">
        <v>2467</v>
      </c>
      <c r="C426" s="11">
        <v>48927077000138</v>
      </c>
      <c r="E426" s="12" t="s">
        <v>23</v>
      </c>
      <c r="F426" s="12" t="s">
        <v>2468</v>
      </c>
      <c r="G426" s="11" t="s">
        <v>2469</v>
      </c>
      <c r="H426" s="11">
        <v>835</v>
      </c>
      <c r="I426" s="11" t="s">
        <v>2662</v>
      </c>
      <c r="J426" s="11">
        <v>60020030</v>
      </c>
      <c r="K426" s="11" t="s">
        <v>39</v>
      </c>
      <c r="L426" s="11" t="s">
        <v>437</v>
      </c>
      <c r="M426" s="11" t="s">
        <v>354</v>
      </c>
      <c r="P426" s="11" t="s">
        <v>2470</v>
      </c>
      <c r="Q426" s="13" t="s">
        <v>2471</v>
      </c>
      <c r="R426" s="11" t="s">
        <v>2472</v>
      </c>
      <c r="S426" s="12" t="s">
        <v>33</v>
      </c>
      <c r="T426" s="11" t="str">
        <f t="shared" si="12"/>
        <v>-3.7320876</v>
      </c>
      <c r="U426" s="11" t="str">
        <f t="shared" si="13"/>
        <v>-38.5323206</v>
      </c>
    </row>
    <row r="427" spans="1:21">
      <c r="A427" s="11" t="s">
        <v>2663</v>
      </c>
      <c r="B427" s="11" t="s">
        <v>2664</v>
      </c>
      <c r="C427" s="11">
        <v>34757881000101</v>
      </c>
      <c r="E427" s="12" t="s">
        <v>23</v>
      </c>
      <c r="F427" s="12" t="s">
        <v>2665</v>
      </c>
      <c r="G427" s="11" t="s">
        <v>2666</v>
      </c>
      <c r="H427" s="11">
        <v>218</v>
      </c>
      <c r="I427" s="11" t="s">
        <v>2477</v>
      </c>
      <c r="J427" s="11">
        <v>68580000</v>
      </c>
      <c r="K427" s="11" t="s">
        <v>2667</v>
      </c>
      <c r="L427" s="11" t="s">
        <v>2668</v>
      </c>
      <c r="M427" s="11" t="s">
        <v>225</v>
      </c>
      <c r="P427" s="11" t="s">
        <v>2669</v>
      </c>
      <c r="Q427" s="13" t="s">
        <v>2670</v>
      </c>
      <c r="R427" s="11" t="s">
        <v>2671</v>
      </c>
      <c r="S427" s="12" t="s">
        <v>33</v>
      </c>
      <c r="T427" s="11" t="str">
        <f t="shared" si="12"/>
        <v>-5.1337224</v>
      </c>
      <c r="U427" s="11" t="str">
        <f t="shared" si="13"/>
        <v>-49.3321988</v>
      </c>
    </row>
    <row r="428" spans="1:21">
      <c r="A428" s="11" t="s">
        <v>2672</v>
      </c>
      <c r="B428" s="11" t="s">
        <v>2673</v>
      </c>
      <c r="C428" s="11">
        <v>39701716000151</v>
      </c>
      <c r="E428" s="12" t="s">
        <v>23</v>
      </c>
      <c r="F428" s="12" t="s">
        <v>2674</v>
      </c>
      <c r="G428" s="11" t="s">
        <v>2675</v>
      </c>
      <c r="H428" s="11">
        <v>970</v>
      </c>
      <c r="I428" s="11" t="s">
        <v>26</v>
      </c>
      <c r="J428" s="11">
        <v>19912120</v>
      </c>
      <c r="K428" s="11" t="s">
        <v>2676</v>
      </c>
      <c r="L428" s="11" t="s">
        <v>2677</v>
      </c>
      <c r="M428" s="11" t="s">
        <v>78</v>
      </c>
      <c r="P428" s="11" t="s">
        <v>2678</v>
      </c>
      <c r="Q428" s="13" t="s">
        <v>2679</v>
      </c>
      <c r="R428" s="11" t="s">
        <v>2680</v>
      </c>
      <c r="S428" s="12" t="s">
        <v>33</v>
      </c>
      <c r="T428" s="11" t="str">
        <f t="shared" si="12"/>
        <v>-22.9792749</v>
      </c>
      <c r="U428" s="11" t="str">
        <f t="shared" si="13"/>
        <v>-49.8615813</v>
      </c>
    </row>
    <row r="429" spans="1:21">
      <c r="A429" s="11" t="s">
        <v>2681</v>
      </c>
      <c r="B429" s="11" t="s">
        <v>2682</v>
      </c>
      <c r="C429" s="11">
        <v>53635337000131</v>
      </c>
      <c r="E429" s="12" t="s">
        <v>23</v>
      </c>
      <c r="F429" s="12" t="s">
        <v>2683</v>
      </c>
      <c r="G429" s="11" t="s">
        <v>2684</v>
      </c>
      <c r="H429" s="11">
        <v>2775</v>
      </c>
      <c r="I429" s="11" t="s">
        <v>2685</v>
      </c>
      <c r="J429" s="11">
        <v>80230010</v>
      </c>
      <c r="K429" s="11" t="s">
        <v>2686</v>
      </c>
      <c r="L429" s="11" t="s">
        <v>678</v>
      </c>
      <c r="M429" s="11" t="s">
        <v>679</v>
      </c>
      <c r="P429" s="11" t="s">
        <v>2687</v>
      </c>
      <c r="Q429" s="13" t="s">
        <v>2688</v>
      </c>
      <c r="R429" s="11" t="s">
        <v>2689</v>
      </c>
      <c r="S429" s="12" t="s">
        <v>33</v>
      </c>
      <c r="T429" s="11" t="str">
        <f t="shared" si="12"/>
        <v>-25.4393671</v>
      </c>
      <c r="U429" s="11" t="str">
        <f t="shared" si="13"/>
        <v>-49.2709690</v>
      </c>
    </row>
    <row r="430" spans="1:21">
      <c r="P430" s="11"/>
    </row>
    <row r="431" spans="1:21">
      <c r="A431" s="11" t="s">
        <v>2690</v>
      </c>
      <c r="B431" s="11" t="s">
        <v>2023</v>
      </c>
      <c r="C431" s="11">
        <v>52067765000142</v>
      </c>
      <c r="E431" s="12" t="s">
        <v>23</v>
      </c>
      <c r="F431" s="12" t="s">
        <v>302</v>
      </c>
      <c r="G431" s="11" t="s">
        <v>2025</v>
      </c>
      <c r="H431" s="11">
        <v>19</v>
      </c>
      <c r="I431" s="11" t="s">
        <v>26</v>
      </c>
      <c r="J431" s="11">
        <v>58411116</v>
      </c>
      <c r="K431" s="11" t="s">
        <v>2026</v>
      </c>
      <c r="L431" s="11" t="s">
        <v>186</v>
      </c>
      <c r="M431" s="11" t="s">
        <v>187</v>
      </c>
      <c r="P431" s="11" t="s">
        <v>2027</v>
      </c>
      <c r="Q431" s="13">
        <v>-7.2510574999999999</v>
      </c>
      <c r="R431" s="11">
        <v>-35.882142600000002</v>
      </c>
      <c r="S431" s="12" t="s">
        <v>70</v>
      </c>
      <c r="T431" s="11" t="str">
        <f t="shared" si="12"/>
        <v>-7.2510575</v>
      </c>
      <c r="U431" s="11" t="str">
        <f t="shared" si="13"/>
        <v>-35.8821426</v>
      </c>
    </row>
    <row r="432" spans="1:21">
      <c r="A432" s="11" t="s">
        <v>2691</v>
      </c>
      <c r="B432" s="11" t="s">
        <v>1994</v>
      </c>
      <c r="C432" s="11">
        <v>44377295000195</v>
      </c>
      <c r="E432" s="12" t="s">
        <v>23</v>
      </c>
      <c r="F432" s="12" t="s">
        <v>1995</v>
      </c>
      <c r="G432" s="11" t="s">
        <v>1996</v>
      </c>
      <c r="H432" s="11">
        <v>80</v>
      </c>
      <c r="I432" s="11" t="s">
        <v>26</v>
      </c>
      <c r="J432" s="11">
        <v>11025200</v>
      </c>
      <c r="K432" s="11" t="s">
        <v>1998</v>
      </c>
      <c r="L432" s="11" t="s">
        <v>1999</v>
      </c>
      <c r="M432" s="11" t="s">
        <v>78</v>
      </c>
      <c r="P432" s="11" t="s">
        <v>2000</v>
      </c>
      <c r="Q432" s="13" t="s">
        <v>2001</v>
      </c>
      <c r="R432" s="11" t="s">
        <v>2002</v>
      </c>
      <c r="S432" s="12" t="s">
        <v>33</v>
      </c>
      <c r="T432" s="11" t="str">
        <f t="shared" si="12"/>
        <v>-23.9706908</v>
      </c>
      <c r="U432" s="11" t="str">
        <f t="shared" si="13"/>
        <v>-46.3055000</v>
      </c>
    </row>
    <row r="433" spans="1:21">
      <c r="A433" s="11" t="s">
        <v>2692</v>
      </c>
      <c r="B433" s="11" t="s">
        <v>2023</v>
      </c>
      <c r="C433" s="11">
        <v>52067765000142</v>
      </c>
      <c r="E433" s="12" t="s">
        <v>23</v>
      </c>
      <c r="F433" s="12" t="s">
        <v>302</v>
      </c>
      <c r="G433" s="11" t="s">
        <v>2025</v>
      </c>
      <c r="H433" s="11">
        <v>19</v>
      </c>
      <c r="I433" s="11" t="s">
        <v>1997</v>
      </c>
      <c r="J433" s="11">
        <v>58411116</v>
      </c>
      <c r="K433" s="11" t="s">
        <v>2026</v>
      </c>
      <c r="L433" s="11" t="s">
        <v>186</v>
      </c>
      <c r="M433" s="11" t="s">
        <v>187</v>
      </c>
      <c r="P433" s="11" t="s">
        <v>2027</v>
      </c>
      <c r="Q433" s="13">
        <v>-7.2510574999999999</v>
      </c>
      <c r="R433" s="11">
        <v>-35.882142600000002</v>
      </c>
      <c r="S433" s="12" t="s">
        <v>70</v>
      </c>
      <c r="T433" s="11" t="str">
        <f t="shared" si="12"/>
        <v>-7.2510575</v>
      </c>
      <c r="U433" s="11" t="str">
        <f t="shared" si="13"/>
        <v>-35.8821426</v>
      </c>
    </row>
    <row r="434" spans="1:21">
      <c r="A434" s="11" t="s">
        <v>2693</v>
      </c>
      <c r="B434" s="11" t="s">
        <v>2694</v>
      </c>
      <c r="C434" s="11">
        <v>52239857000162</v>
      </c>
      <c r="E434" s="12" t="s">
        <v>23</v>
      </c>
      <c r="F434" s="12" t="s">
        <v>2695</v>
      </c>
      <c r="G434" s="11" t="s">
        <v>2696</v>
      </c>
      <c r="H434" s="11">
        <v>119</v>
      </c>
      <c r="I434" s="11" t="s">
        <v>26</v>
      </c>
      <c r="J434" s="11">
        <v>77062020</v>
      </c>
      <c r="K434" s="11" t="s">
        <v>2697</v>
      </c>
      <c r="L434" s="11" t="s">
        <v>949</v>
      </c>
      <c r="M434" s="11" t="s">
        <v>646</v>
      </c>
      <c r="P434" s="11" t="s">
        <v>2698</v>
      </c>
      <c r="Q434" s="13" t="s">
        <v>2699</v>
      </c>
      <c r="R434" s="11" t="s">
        <v>2700</v>
      </c>
      <c r="S434" s="12" t="s">
        <v>33</v>
      </c>
      <c r="T434" s="11" t="str">
        <f t="shared" si="12"/>
        <v>-10.3154547</v>
      </c>
      <c r="U434" s="11" t="str">
        <f t="shared" si="13"/>
        <v>-48.3102189</v>
      </c>
    </row>
    <row r="435" spans="1:21">
      <c r="A435" s="11" t="s">
        <v>2701</v>
      </c>
      <c r="B435" s="11" t="s">
        <v>2702</v>
      </c>
      <c r="C435" s="11">
        <v>55262850000150</v>
      </c>
      <c r="E435" s="12" t="s">
        <v>23</v>
      </c>
      <c r="F435" s="12" t="s">
        <v>2703</v>
      </c>
      <c r="G435" s="11" t="s">
        <v>2704</v>
      </c>
      <c r="H435" s="11">
        <v>916</v>
      </c>
      <c r="I435" s="11" t="s">
        <v>26</v>
      </c>
      <c r="J435" s="11">
        <v>38700001</v>
      </c>
      <c r="K435" s="11" t="s">
        <v>39</v>
      </c>
      <c r="L435" s="11" t="s">
        <v>2705</v>
      </c>
      <c r="M435" s="11" t="s">
        <v>404</v>
      </c>
      <c r="P435" s="11" t="s">
        <v>2706</v>
      </c>
      <c r="Q435" s="13" t="s">
        <v>2707</v>
      </c>
      <c r="R435" s="11" t="s">
        <v>2708</v>
      </c>
      <c r="S435" s="12" t="s">
        <v>33</v>
      </c>
      <c r="T435" s="11" t="str">
        <f t="shared" si="12"/>
        <v>-18.5994558</v>
      </c>
      <c r="U435" s="11" t="str">
        <f t="shared" si="13"/>
        <v>-46.5150298</v>
      </c>
    </row>
    <row r="436" spans="1:21">
      <c r="A436" s="11" t="s">
        <v>2709</v>
      </c>
      <c r="B436" s="11" t="s">
        <v>1368</v>
      </c>
      <c r="C436" s="11">
        <v>34854383001078</v>
      </c>
      <c r="E436" s="12" t="s">
        <v>23</v>
      </c>
      <c r="F436" s="12" t="s">
        <v>2710</v>
      </c>
      <c r="G436" s="11" t="s">
        <v>2711</v>
      </c>
      <c r="H436" s="11">
        <v>2780</v>
      </c>
      <c r="I436" s="11" t="s">
        <v>2712</v>
      </c>
      <c r="J436" s="11">
        <v>2430001</v>
      </c>
      <c r="K436" s="11" t="s">
        <v>2713</v>
      </c>
      <c r="L436" s="11" t="s">
        <v>411</v>
      </c>
      <c r="M436" s="11" t="s">
        <v>78</v>
      </c>
      <c r="P436" s="11" t="s">
        <v>2714</v>
      </c>
      <c r="Q436" s="13">
        <v>-23.484689199999998</v>
      </c>
      <c r="R436" s="11">
        <v>-46.641714200000003</v>
      </c>
      <c r="S436" s="12" t="s">
        <v>70</v>
      </c>
      <c r="T436" s="11" t="str">
        <f t="shared" si="12"/>
        <v>-23.4846892</v>
      </c>
      <c r="U436" s="11" t="str">
        <f t="shared" si="13"/>
        <v>-46.6417142</v>
      </c>
    </row>
    <row r="437" spans="1:21">
      <c r="A437" s="11" t="s">
        <v>2715</v>
      </c>
      <c r="B437" s="11" t="s">
        <v>2716</v>
      </c>
      <c r="C437" s="11">
        <v>54201984000106</v>
      </c>
      <c r="E437" s="12" t="s">
        <v>23</v>
      </c>
      <c r="F437" s="12" t="s">
        <v>2717</v>
      </c>
      <c r="G437" s="11" t="s">
        <v>2718</v>
      </c>
      <c r="H437" s="11">
        <v>58</v>
      </c>
      <c r="I437" s="11" t="s">
        <v>26</v>
      </c>
      <c r="J437" s="11">
        <v>56400000</v>
      </c>
      <c r="K437" s="11" t="s">
        <v>39</v>
      </c>
      <c r="L437" s="11" t="s">
        <v>2719</v>
      </c>
      <c r="M437" s="11" t="s">
        <v>29</v>
      </c>
      <c r="P437" s="11" t="s">
        <v>2720</v>
      </c>
      <c r="Q437" s="13" t="s">
        <v>2721</v>
      </c>
      <c r="R437" s="11" t="s">
        <v>2722</v>
      </c>
      <c r="S437" s="12" t="s">
        <v>33</v>
      </c>
      <c r="T437" s="11" t="str">
        <f t="shared" si="12"/>
        <v>-8.5969798</v>
      </c>
      <c r="U437" s="11" t="str">
        <f t="shared" si="13"/>
        <v>-38.5742878</v>
      </c>
    </row>
    <row r="438" spans="1:21">
      <c r="P438" s="11"/>
    </row>
    <row r="439" spans="1:21">
      <c r="A439" s="11" t="s">
        <v>2723</v>
      </c>
      <c r="B439" s="11" t="s">
        <v>2724</v>
      </c>
      <c r="C439" s="11">
        <v>54365784000180</v>
      </c>
      <c r="E439" s="12" t="s">
        <v>23</v>
      </c>
      <c r="F439" s="12" t="s">
        <v>2725</v>
      </c>
      <c r="G439" s="11" t="s">
        <v>2726</v>
      </c>
      <c r="H439" s="11">
        <v>34</v>
      </c>
      <c r="I439" s="11" t="s">
        <v>2727</v>
      </c>
      <c r="J439" s="11">
        <v>17501490</v>
      </c>
      <c r="K439" s="11" t="s">
        <v>1448</v>
      </c>
      <c r="L439" s="11" t="s">
        <v>2728</v>
      </c>
      <c r="M439" s="11" t="s">
        <v>78</v>
      </c>
      <c r="P439" s="11" t="s">
        <v>2729</v>
      </c>
      <c r="Q439" s="13" t="s">
        <v>2730</v>
      </c>
      <c r="R439" s="11" t="s">
        <v>2731</v>
      </c>
      <c r="S439" s="12" t="s">
        <v>33</v>
      </c>
      <c r="T439" s="11" t="str">
        <f t="shared" si="12"/>
        <v>-22.2262367</v>
      </c>
      <c r="U439" s="11" t="str">
        <f t="shared" si="13"/>
        <v>-49.9511404</v>
      </c>
    </row>
    <row r="440" spans="1:21">
      <c r="A440" s="11" t="s">
        <v>2732</v>
      </c>
      <c r="B440" s="11" t="s">
        <v>2733</v>
      </c>
      <c r="C440" s="11">
        <v>48373439000196</v>
      </c>
      <c r="E440" s="12" t="s">
        <v>23</v>
      </c>
      <c r="F440" s="12" t="s">
        <v>2734</v>
      </c>
      <c r="G440" s="11" t="s">
        <v>2735</v>
      </c>
      <c r="H440" s="11">
        <v>1</v>
      </c>
      <c r="I440" s="11" t="s">
        <v>26</v>
      </c>
      <c r="J440" s="11">
        <v>58840000</v>
      </c>
      <c r="K440" s="11" t="s">
        <v>39</v>
      </c>
      <c r="L440" s="11" t="s">
        <v>2736</v>
      </c>
      <c r="M440" s="11" t="s">
        <v>187</v>
      </c>
      <c r="P440" s="11" t="s">
        <v>2737</v>
      </c>
      <c r="Q440" s="13" t="s">
        <v>2738</v>
      </c>
      <c r="R440" s="11" t="s">
        <v>2739</v>
      </c>
      <c r="S440" s="12" t="s">
        <v>33</v>
      </c>
      <c r="T440" s="11" t="str">
        <f t="shared" si="12"/>
        <v>-6.7711315</v>
      </c>
      <c r="U440" s="11" t="str">
        <f t="shared" si="13"/>
        <v>-37.7988646</v>
      </c>
    </row>
    <row r="441" spans="1:21">
      <c r="A441" s="11" t="s">
        <v>2740</v>
      </c>
      <c r="B441" s="11" t="s">
        <v>2270</v>
      </c>
      <c r="C441" s="11">
        <v>52569838000528</v>
      </c>
      <c r="E441" s="12" t="s">
        <v>23</v>
      </c>
      <c r="F441" s="12" t="s">
        <v>2741</v>
      </c>
      <c r="G441" s="11" t="s">
        <v>2742</v>
      </c>
      <c r="H441" s="11">
        <v>1471</v>
      </c>
      <c r="I441" s="11" t="s">
        <v>26</v>
      </c>
      <c r="J441" s="11">
        <v>1311927</v>
      </c>
      <c r="K441" s="11" t="s">
        <v>292</v>
      </c>
      <c r="L441" s="11" t="s">
        <v>411</v>
      </c>
      <c r="M441" s="11" t="s">
        <v>78</v>
      </c>
      <c r="P441" s="11" t="s">
        <v>2743</v>
      </c>
      <c r="Q441" s="13">
        <v>-22.7537682</v>
      </c>
      <c r="R441" s="11">
        <v>-47.167112799999998</v>
      </c>
      <c r="S441" s="12" t="s">
        <v>70</v>
      </c>
      <c r="T441" s="11" t="str">
        <f t="shared" si="12"/>
        <v>-22.7537682</v>
      </c>
      <c r="U441" s="11" t="str">
        <f t="shared" si="13"/>
        <v>-47.1671128</v>
      </c>
    </row>
    <row r="442" spans="1:21">
      <c r="A442" s="11" t="s">
        <v>2744</v>
      </c>
      <c r="B442" s="11" t="s">
        <v>2745</v>
      </c>
      <c r="C442" s="11">
        <v>54520113000147</v>
      </c>
      <c r="E442" s="12" t="s">
        <v>23</v>
      </c>
      <c r="F442" s="12" t="s">
        <v>2746</v>
      </c>
      <c r="G442" s="11" t="s">
        <v>2747</v>
      </c>
      <c r="H442" s="11">
        <v>5859</v>
      </c>
      <c r="I442" s="11" t="s">
        <v>2748</v>
      </c>
      <c r="J442" s="11">
        <v>4627901</v>
      </c>
      <c r="K442" s="11" t="s">
        <v>233</v>
      </c>
      <c r="L442" s="11" t="s">
        <v>411</v>
      </c>
      <c r="M442" s="11" t="s">
        <v>78</v>
      </c>
      <c r="P442" s="11" t="s">
        <v>2749</v>
      </c>
      <c r="Q442" s="13">
        <v>-23.650099600000001</v>
      </c>
      <c r="R442" s="11">
        <v>-46.677494699999997</v>
      </c>
      <c r="S442" s="12" t="s">
        <v>70</v>
      </c>
      <c r="T442" s="11" t="str">
        <f t="shared" si="12"/>
        <v>-23.6500996</v>
      </c>
      <c r="U442" s="11" t="str">
        <f t="shared" si="13"/>
        <v>-46.6774947</v>
      </c>
    </row>
    <row r="443" spans="1:21">
      <c r="A443" s="11" t="s">
        <v>2750</v>
      </c>
      <c r="B443" s="11" t="s">
        <v>2751</v>
      </c>
      <c r="C443" s="11">
        <v>54967935000170</v>
      </c>
      <c r="E443" s="12" t="s">
        <v>23</v>
      </c>
      <c r="F443" s="12" t="s">
        <v>2752</v>
      </c>
      <c r="G443" s="11" t="s">
        <v>2753</v>
      </c>
      <c r="H443" s="11" t="s">
        <v>291</v>
      </c>
      <c r="I443" s="11" t="s">
        <v>26</v>
      </c>
      <c r="J443" s="11">
        <v>13035505</v>
      </c>
      <c r="K443" s="11" t="s">
        <v>2754</v>
      </c>
      <c r="L443" s="11" t="s">
        <v>2755</v>
      </c>
      <c r="M443" s="11" t="s">
        <v>78</v>
      </c>
      <c r="P443" s="11" t="s">
        <v>2756</v>
      </c>
      <c r="Q443" s="13" t="s">
        <v>2757</v>
      </c>
      <c r="R443" s="11" t="s">
        <v>2758</v>
      </c>
      <c r="S443" s="12" t="s">
        <v>33</v>
      </c>
      <c r="T443" s="11" t="str">
        <f t="shared" si="12"/>
        <v>-22.9080502</v>
      </c>
      <c r="U443" s="11" t="str">
        <f t="shared" si="13"/>
        <v>-47.0756814</v>
      </c>
    </row>
    <row r="444" spans="1:21">
      <c r="A444" s="11" t="s">
        <v>2759</v>
      </c>
      <c r="B444" s="11" t="s">
        <v>2132</v>
      </c>
      <c r="C444" s="11">
        <v>47831036000180</v>
      </c>
      <c r="E444" s="12" t="s">
        <v>23</v>
      </c>
      <c r="F444" s="12" t="s">
        <v>2133</v>
      </c>
      <c r="G444" s="11" t="s">
        <v>2134</v>
      </c>
      <c r="H444" s="11">
        <v>918</v>
      </c>
      <c r="I444" s="11" t="s">
        <v>2760</v>
      </c>
      <c r="J444" s="11">
        <v>68907140</v>
      </c>
      <c r="K444" s="11" t="s">
        <v>2136</v>
      </c>
      <c r="L444" s="11" t="s">
        <v>256</v>
      </c>
      <c r="M444" s="11" t="s">
        <v>257</v>
      </c>
      <c r="P444" s="11" t="s">
        <v>2137</v>
      </c>
      <c r="Q444" s="13" t="s">
        <v>2138</v>
      </c>
      <c r="R444" s="11" t="s">
        <v>2139</v>
      </c>
      <c r="S444" s="12" t="s">
        <v>33</v>
      </c>
      <c r="T444" s="11" t="str">
        <f t="shared" si="12"/>
        <v>0.0784384</v>
      </c>
      <c r="U444" s="11" t="str">
        <f t="shared" si="13"/>
        <v>-51.0524157</v>
      </c>
    </row>
    <row r="445" spans="1:21" ht="13.9" customHeight="1">
      <c r="A445" s="11" t="s">
        <v>2761</v>
      </c>
      <c r="B445" s="11" t="s">
        <v>2762</v>
      </c>
      <c r="C445" s="11">
        <v>54683267000150</v>
      </c>
      <c r="E445" s="12" t="s">
        <v>23</v>
      </c>
      <c r="F445" s="12" t="s">
        <v>2763</v>
      </c>
      <c r="G445" s="11" t="s">
        <v>2764</v>
      </c>
      <c r="H445" s="11">
        <v>60</v>
      </c>
      <c r="I445" s="11" t="s">
        <v>2765</v>
      </c>
      <c r="J445" s="11">
        <v>47802512</v>
      </c>
      <c r="K445" s="11" t="s">
        <v>2766</v>
      </c>
      <c r="L445" s="11" t="s">
        <v>2767</v>
      </c>
      <c r="M445" s="11" t="s">
        <v>86</v>
      </c>
      <c r="P445" s="11" t="s">
        <v>2768</v>
      </c>
      <c r="Q445" s="13" t="s">
        <v>2769</v>
      </c>
      <c r="R445" s="11" t="s">
        <v>2770</v>
      </c>
      <c r="S445" s="12" t="s">
        <v>33</v>
      </c>
      <c r="T445" s="11" t="str">
        <f t="shared" si="12"/>
        <v>-12.1448733</v>
      </c>
      <c r="U445" s="11" t="str">
        <f t="shared" si="13"/>
        <v>-44.9712375</v>
      </c>
    </row>
    <row r="446" spans="1:21">
      <c r="A446" s="11" t="s">
        <v>2771</v>
      </c>
      <c r="B446" s="11" t="s">
        <v>2772</v>
      </c>
      <c r="C446" s="11">
        <v>54504240000152</v>
      </c>
      <c r="E446" s="12" t="s">
        <v>23</v>
      </c>
      <c r="F446" s="12" t="s">
        <v>2773</v>
      </c>
      <c r="G446" s="11" t="s">
        <v>2774</v>
      </c>
      <c r="H446" s="11" t="s">
        <v>129</v>
      </c>
      <c r="I446" s="11" t="s">
        <v>26</v>
      </c>
      <c r="J446" s="11">
        <v>41745010</v>
      </c>
      <c r="K446" s="11" t="s">
        <v>2775</v>
      </c>
      <c r="L446" s="11" t="s">
        <v>755</v>
      </c>
      <c r="M446" s="11" t="s">
        <v>86</v>
      </c>
      <c r="P446" s="11" t="s">
        <v>2776</v>
      </c>
      <c r="Q446" s="13" t="s">
        <v>2777</v>
      </c>
      <c r="R446" s="11" t="s">
        <v>2778</v>
      </c>
      <c r="S446" s="12" t="s">
        <v>33</v>
      </c>
      <c r="T446" s="11" t="str">
        <f t="shared" si="12"/>
        <v>-12.9455376</v>
      </c>
      <c r="U446" s="11" t="str">
        <f t="shared" si="13"/>
        <v>-38.4210589</v>
      </c>
    </row>
    <row r="447" spans="1:21">
      <c r="A447" s="11" t="s">
        <v>2779</v>
      </c>
      <c r="B447" s="11" t="s">
        <v>2780</v>
      </c>
      <c r="C447" s="11">
        <v>45244919000240</v>
      </c>
      <c r="E447" s="12" t="s">
        <v>23</v>
      </c>
      <c r="F447" s="12" t="s">
        <v>2781</v>
      </c>
      <c r="G447" s="11" t="s">
        <v>2782</v>
      </c>
      <c r="H447" s="11">
        <v>126</v>
      </c>
      <c r="I447" s="11" t="s">
        <v>2662</v>
      </c>
      <c r="J447" s="11">
        <v>20765959</v>
      </c>
      <c r="K447" s="11" t="s">
        <v>2783</v>
      </c>
      <c r="L447" s="11" t="s">
        <v>313</v>
      </c>
      <c r="M447" s="11" t="s">
        <v>68</v>
      </c>
      <c r="P447" s="11" t="s">
        <v>2784</v>
      </c>
      <c r="Q447" s="13">
        <v>-22.877610000000001</v>
      </c>
      <c r="R447" s="11">
        <v>-43.273890000000002</v>
      </c>
      <c r="S447" s="12" t="s">
        <v>70</v>
      </c>
      <c r="T447" s="11" t="str">
        <f t="shared" si="12"/>
        <v>-22.87761</v>
      </c>
      <c r="U447" s="11" t="str">
        <f t="shared" si="13"/>
        <v>-43.27389</v>
      </c>
    </row>
    <row r="448" spans="1:21">
      <c r="A448" s="11" t="s">
        <v>2785</v>
      </c>
      <c r="B448" s="11" t="s">
        <v>2786</v>
      </c>
      <c r="C448" s="11">
        <v>56848811000100</v>
      </c>
      <c r="E448" s="12" t="s">
        <v>23</v>
      </c>
      <c r="F448" s="12" t="s">
        <v>2787</v>
      </c>
      <c r="G448" s="11" t="s">
        <v>2788</v>
      </c>
      <c r="H448" s="11">
        <v>325</v>
      </c>
      <c r="I448" s="11" t="s">
        <v>736</v>
      </c>
      <c r="J448" s="11">
        <v>50050000</v>
      </c>
      <c r="K448" s="11" t="s">
        <v>1448</v>
      </c>
      <c r="L448" s="11" t="s">
        <v>28</v>
      </c>
      <c r="M448" s="11" t="s">
        <v>29</v>
      </c>
      <c r="P448" s="11" t="s">
        <v>2789</v>
      </c>
      <c r="Q448" s="13" t="s">
        <v>2790</v>
      </c>
      <c r="R448" s="11" t="s">
        <v>2791</v>
      </c>
      <c r="S448" s="12" t="s">
        <v>33</v>
      </c>
      <c r="T448" s="11" t="str">
        <f t="shared" si="12"/>
        <v>-8.0601398</v>
      </c>
      <c r="U448" s="11" t="str">
        <f t="shared" si="13"/>
        <v>-34.8804122</v>
      </c>
    </row>
    <row r="449" spans="1:21">
      <c r="P449" s="11"/>
    </row>
    <row r="450" spans="1:21">
      <c r="A450" s="11" t="s">
        <v>2792</v>
      </c>
      <c r="B450" s="11" t="s">
        <v>2793</v>
      </c>
      <c r="C450" s="11">
        <v>52800879000150</v>
      </c>
      <c r="E450" s="12" t="s">
        <v>23</v>
      </c>
      <c r="F450" s="12" t="s">
        <v>310</v>
      </c>
      <c r="G450" s="11" t="s">
        <v>2794</v>
      </c>
      <c r="H450" s="11">
        <v>555</v>
      </c>
      <c r="I450" s="11" t="s">
        <v>2795</v>
      </c>
      <c r="J450" s="11">
        <v>23087959</v>
      </c>
      <c r="K450" s="11" t="s">
        <v>1198</v>
      </c>
      <c r="L450" s="11" t="s">
        <v>313</v>
      </c>
      <c r="M450" s="11" t="s">
        <v>68</v>
      </c>
      <c r="P450" s="11" t="s">
        <v>2796</v>
      </c>
      <c r="Q450" s="13">
        <v>-22.879719699999999</v>
      </c>
      <c r="R450" s="11">
        <v>-43.5548498</v>
      </c>
      <c r="S450" s="12" t="s">
        <v>70</v>
      </c>
      <c r="T450" s="11" t="str">
        <f t="shared" ref="T450:T513" si="14">SUBSTITUTE(Q:Q,",",".")</f>
        <v>-22.8797197</v>
      </c>
      <c r="U450" s="11" t="str">
        <f t="shared" ref="U450:U513" si="15">SUBSTITUTE(R:R,",",".")</f>
        <v>-43.5548498</v>
      </c>
    </row>
    <row r="451" spans="1:21">
      <c r="A451" s="11" t="s">
        <v>2797</v>
      </c>
      <c r="B451" s="11" t="s">
        <v>2798</v>
      </c>
      <c r="C451" s="11">
        <v>53474968000116</v>
      </c>
      <c r="E451" s="12" t="s">
        <v>23</v>
      </c>
      <c r="F451" s="12" t="s">
        <v>2799</v>
      </c>
      <c r="G451" s="11" t="s">
        <v>2800</v>
      </c>
      <c r="H451" s="11">
        <v>800</v>
      </c>
      <c r="I451" s="11" t="s">
        <v>2801</v>
      </c>
      <c r="J451" s="11">
        <v>27937004</v>
      </c>
      <c r="K451" s="11" t="s">
        <v>2802</v>
      </c>
      <c r="L451" s="11" t="s">
        <v>2803</v>
      </c>
      <c r="M451" s="11" t="s">
        <v>68</v>
      </c>
      <c r="P451" s="11" t="s">
        <v>2804</v>
      </c>
      <c r="Q451" s="13">
        <v>-22.370830000000002</v>
      </c>
      <c r="R451" s="11">
        <v>-41.786940000000001</v>
      </c>
      <c r="S451" s="12" t="s">
        <v>70</v>
      </c>
      <c r="T451" s="11" t="str">
        <f t="shared" si="14"/>
        <v>-22.37083</v>
      </c>
      <c r="U451" s="11" t="str">
        <f t="shared" si="15"/>
        <v>-41.78694</v>
      </c>
    </row>
    <row r="452" spans="1:21">
      <c r="P452" s="11"/>
    </row>
    <row r="453" spans="1:21">
      <c r="A453" s="11" t="s">
        <v>2805</v>
      </c>
      <c r="B453" s="11" t="s">
        <v>965</v>
      </c>
      <c r="C453" s="11">
        <v>34046647000176</v>
      </c>
      <c r="E453" s="12" t="s">
        <v>23</v>
      </c>
      <c r="F453" s="12" t="s">
        <v>2122</v>
      </c>
      <c r="G453" s="11" t="s">
        <v>967</v>
      </c>
      <c r="H453" s="11" t="s">
        <v>968</v>
      </c>
      <c r="I453" s="11" t="s">
        <v>26</v>
      </c>
      <c r="J453" s="11">
        <v>68385000</v>
      </c>
      <c r="K453" s="11" t="s">
        <v>969</v>
      </c>
      <c r="L453" s="11" t="s">
        <v>970</v>
      </c>
      <c r="M453" s="11" t="s">
        <v>225</v>
      </c>
      <c r="P453" s="11" t="s">
        <v>971</v>
      </c>
      <c r="Q453" s="13" t="s">
        <v>972</v>
      </c>
      <c r="R453" s="11" t="s">
        <v>973</v>
      </c>
      <c r="S453" s="12" t="s">
        <v>33</v>
      </c>
      <c r="T453" s="11" t="str">
        <f t="shared" si="14"/>
        <v>-6.7517239</v>
      </c>
      <c r="U453" s="11" t="str">
        <f t="shared" si="15"/>
        <v>-51.1507941</v>
      </c>
    </row>
    <row r="454" spans="1:21">
      <c r="P454" s="11"/>
    </row>
    <row r="455" spans="1:21">
      <c r="A455" s="11" t="s">
        <v>2806</v>
      </c>
      <c r="B455" s="11" t="s">
        <v>2807</v>
      </c>
      <c r="C455" s="11">
        <v>54892398000147</v>
      </c>
      <c r="E455" s="12" t="s">
        <v>23</v>
      </c>
      <c r="F455" s="12" t="s">
        <v>2808</v>
      </c>
      <c r="G455" s="11" t="s">
        <v>2809</v>
      </c>
      <c r="H455" s="11">
        <v>193</v>
      </c>
      <c r="I455" s="11" t="s">
        <v>26</v>
      </c>
      <c r="J455" s="11">
        <v>32450000</v>
      </c>
      <c r="K455" s="11" t="s">
        <v>2810</v>
      </c>
      <c r="L455" s="11" t="s">
        <v>2811</v>
      </c>
      <c r="M455" s="11" t="s">
        <v>404</v>
      </c>
      <c r="P455" s="11" t="s">
        <v>2812</v>
      </c>
      <c r="Q455" s="13" t="s">
        <v>2813</v>
      </c>
      <c r="R455" s="11" t="s">
        <v>2814</v>
      </c>
      <c r="S455" s="12" t="s">
        <v>33</v>
      </c>
      <c r="T455" s="11" t="str">
        <f t="shared" si="14"/>
        <v>-20.0353000</v>
      </c>
      <c r="U455" s="11" t="str">
        <f t="shared" si="15"/>
        <v>-44.1453000</v>
      </c>
    </row>
    <row r="456" spans="1:21">
      <c r="A456" s="11" t="s">
        <v>2815</v>
      </c>
      <c r="B456" s="11" t="s">
        <v>2816</v>
      </c>
      <c r="C456" s="11">
        <v>56008854000179</v>
      </c>
      <c r="E456" s="12" t="s">
        <v>23</v>
      </c>
      <c r="F456" s="12" t="s">
        <v>2817</v>
      </c>
      <c r="G456" s="11" t="s">
        <v>2818</v>
      </c>
      <c r="H456" s="11">
        <v>135</v>
      </c>
      <c r="I456" s="11" t="s">
        <v>2819</v>
      </c>
      <c r="J456" s="11">
        <v>3286120</v>
      </c>
      <c r="K456" s="11" t="s">
        <v>2820</v>
      </c>
      <c r="L456" s="11" t="s">
        <v>411</v>
      </c>
      <c r="M456" s="11" t="s">
        <v>78</v>
      </c>
      <c r="P456" s="11" t="s">
        <v>2821</v>
      </c>
      <c r="Q456" s="13">
        <v>-23.547499999999999</v>
      </c>
      <c r="R456" s="11">
        <v>-46.636110000000002</v>
      </c>
      <c r="S456" s="12" t="s">
        <v>70</v>
      </c>
      <c r="T456" s="11" t="str">
        <f t="shared" si="14"/>
        <v>-23.5475</v>
      </c>
      <c r="U456" s="11" t="str">
        <f t="shared" si="15"/>
        <v>-46.63611</v>
      </c>
    </row>
    <row r="457" spans="1:21">
      <c r="A457" s="11" t="s">
        <v>2822</v>
      </c>
      <c r="B457" s="11" t="s">
        <v>2823</v>
      </c>
      <c r="C457" s="11">
        <v>28582292000137</v>
      </c>
      <c r="E457" s="12" t="s">
        <v>23</v>
      </c>
      <c r="F457" s="12" t="s">
        <v>2824</v>
      </c>
      <c r="G457" s="11" t="s">
        <v>2825</v>
      </c>
      <c r="H457" s="11">
        <v>1161</v>
      </c>
      <c r="I457" s="11" t="s">
        <v>26</v>
      </c>
      <c r="J457" s="11">
        <v>68040420</v>
      </c>
      <c r="K457" s="11" t="s">
        <v>2826</v>
      </c>
      <c r="L457" s="11" t="s">
        <v>583</v>
      </c>
      <c r="M457" s="11" t="s">
        <v>225</v>
      </c>
      <c r="P457" s="11" t="s">
        <v>2827</v>
      </c>
      <c r="Q457" s="13" t="s">
        <v>2828</v>
      </c>
      <c r="R457" s="11" t="s">
        <v>2829</v>
      </c>
      <c r="S457" s="12" t="s">
        <v>33</v>
      </c>
      <c r="T457" s="11" t="str">
        <f t="shared" si="14"/>
        <v>-2.4258814</v>
      </c>
      <c r="U457" s="11" t="str">
        <f t="shared" si="15"/>
        <v>-54.7326475</v>
      </c>
    </row>
    <row r="458" spans="1:21">
      <c r="A458" s="11" t="s">
        <v>2830</v>
      </c>
      <c r="B458" s="11" t="s">
        <v>2831</v>
      </c>
      <c r="C458" s="11">
        <v>44865268000161</v>
      </c>
      <c r="E458" s="12" t="s">
        <v>23</v>
      </c>
      <c r="F458" s="12" t="s">
        <v>953</v>
      </c>
      <c r="G458" s="11" t="s">
        <v>2832</v>
      </c>
      <c r="H458" s="11">
        <v>3429</v>
      </c>
      <c r="I458" s="11" t="s">
        <v>26</v>
      </c>
      <c r="J458" s="11">
        <v>64204035</v>
      </c>
      <c r="K458" s="11" t="s">
        <v>2833</v>
      </c>
      <c r="L458" s="11" t="s">
        <v>2834</v>
      </c>
      <c r="M458" s="11" t="s">
        <v>391</v>
      </c>
      <c r="P458" s="11" t="s">
        <v>2835</v>
      </c>
      <c r="Q458" s="13">
        <v>-2.9103569999999999</v>
      </c>
      <c r="R458" s="11">
        <v>-41.741649099999997</v>
      </c>
      <c r="S458" s="12" t="s">
        <v>70</v>
      </c>
      <c r="T458" s="11" t="str">
        <f t="shared" si="14"/>
        <v>-2.910357</v>
      </c>
      <c r="U458" s="11" t="str">
        <f t="shared" si="15"/>
        <v>-41.7416491</v>
      </c>
    </row>
    <row r="459" spans="1:21">
      <c r="A459" s="11" t="s">
        <v>2836</v>
      </c>
      <c r="B459" s="11" t="s">
        <v>2831</v>
      </c>
      <c r="C459" s="11">
        <v>44865268000161</v>
      </c>
      <c r="E459" s="12" t="s">
        <v>23</v>
      </c>
      <c r="F459" s="12" t="s">
        <v>953</v>
      </c>
      <c r="G459" s="11" t="s">
        <v>2832</v>
      </c>
      <c r="H459" s="11">
        <v>3429</v>
      </c>
      <c r="I459" s="11" t="s">
        <v>2837</v>
      </c>
      <c r="J459" s="11">
        <v>64204035</v>
      </c>
      <c r="K459" s="11" t="s">
        <v>2833</v>
      </c>
      <c r="L459" s="11" t="s">
        <v>2834</v>
      </c>
      <c r="M459" s="11" t="s">
        <v>391</v>
      </c>
      <c r="P459" s="11" t="s">
        <v>2835</v>
      </c>
      <c r="Q459" s="13">
        <v>-2.9103569999999999</v>
      </c>
      <c r="R459" s="11">
        <v>-41.741649099999997</v>
      </c>
      <c r="S459" s="12" t="s">
        <v>70</v>
      </c>
      <c r="T459" s="11" t="str">
        <f t="shared" si="14"/>
        <v>-2.910357</v>
      </c>
      <c r="U459" s="11" t="str">
        <f t="shared" si="15"/>
        <v>-41.7416491</v>
      </c>
    </row>
    <row r="460" spans="1:21">
      <c r="A460" s="11" t="s">
        <v>2838</v>
      </c>
      <c r="B460" s="11" t="s">
        <v>2839</v>
      </c>
      <c r="C460" s="11">
        <v>54743177000107</v>
      </c>
      <c r="E460" s="12" t="s">
        <v>23</v>
      </c>
      <c r="F460" s="12" t="s">
        <v>2840</v>
      </c>
      <c r="G460" s="11" t="s">
        <v>2841</v>
      </c>
      <c r="H460" s="11">
        <v>453</v>
      </c>
      <c r="I460" s="11" t="s">
        <v>26</v>
      </c>
      <c r="J460" s="11">
        <v>55650000</v>
      </c>
      <c r="K460" s="11" t="s">
        <v>39</v>
      </c>
      <c r="L460" s="11" t="s">
        <v>2842</v>
      </c>
      <c r="M460" s="11" t="s">
        <v>29</v>
      </c>
      <c r="P460" s="11" t="s">
        <v>2843</v>
      </c>
      <c r="Q460" s="13" t="s">
        <v>2844</v>
      </c>
      <c r="R460" s="11" t="s">
        <v>2845</v>
      </c>
      <c r="S460" s="12" t="s">
        <v>33</v>
      </c>
      <c r="T460" s="11" t="str">
        <f t="shared" si="14"/>
        <v>-7.9763170</v>
      </c>
      <c r="U460" s="11" t="str">
        <f t="shared" si="15"/>
        <v>-35.5817327</v>
      </c>
    </row>
    <row r="461" spans="1:21">
      <c r="A461" s="11" t="s">
        <v>2846</v>
      </c>
      <c r="B461" s="11" t="s">
        <v>2847</v>
      </c>
      <c r="C461" s="11">
        <v>53364456000105</v>
      </c>
      <c r="E461" s="12" t="s">
        <v>23</v>
      </c>
      <c r="F461" s="12" t="s">
        <v>2182</v>
      </c>
      <c r="G461" s="11" t="s">
        <v>2848</v>
      </c>
      <c r="H461" s="11">
        <v>270</v>
      </c>
      <c r="I461" s="11" t="s">
        <v>26</v>
      </c>
      <c r="J461" s="11">
        <v>9060390</v>
      </c>
      <c r="K461" s="11" t="s">
        <v>2849</v>
      </c>
      <c r="L461" s="11" t="s">
        <v>2850</v>
      </c>
      <c r="M461" s="11" t="s">
        <v>78</v>
      </c>
      <c r="P461" s="11" t="s">
        <v>2851</v>
      </c>
      <c r="Q461" s="13">
        <v>-23.6645848</v>
      </c>
      <c r="R461" s="11">
        <v>-46.545508499999997</v>
      </c>
      <c r="S461" s="12" t="s">
        <v>70</v>
      </c>
      <c r="T461" s="11" t="str">
        <f t="shared" si="14"/>
        <v>-23.6645848</v>
      </c>
      <c r="U461" s="11" t="str">
        <f t="shared" si="15"/>
        <v>-46.5455085</v>
      </c>
    </row>
    <row r="462" spans="1:21">
      <c r="A462" s="11" t="s">
        <v>2852</v>
      </c>
      <c r="B462" s="11" t="s">
        <v>808</v>
      </c>
      <c r="C462" s="11">
        <v>35413943000120</v>
      </c>
      <c r="E462" s="12" t="s">
        <v>23</v>
      </c>
      <c r="F462" s="12" t="s">
        <v>2853</v>
      </c>
      <c r="G462" s="11" t="s">
        <v>1031</v>
      </c>
      <c r="H462" s="11">
        <v>212</v>
      </c>
      <c r="I462" s="11" t="s">
        <v>26</v>
      </c>
      <c r="J462" s="11">
        <v>35500009</v>
      </c>
      <c r="K462" s="11" t="s">
        <v>39</v>
      </c>
      <c r="L462" s="11" t="s">
        <v>812</v>
      </c>
      <c r="M462" s="11" t="s">
        <v>404</v>
      </c>
      <c r="P462" s="11" t="s">
        <v>813</v>
      </c>
      <c r="Q462" s="13" t="s">
        <v>814</v>
      </c>
      <c r="R462" s="11" t="s">
        <v>815</v>
      </c>
      <c r="S462" s="12" t="s">
        <v>33</v>
      </c>
      <c r="T462" s="11" t="str">
        <f t="shared" si="14"/>
        <v>-20.1421130</v>
      </c>
      <c r="U462" s="11" t="str">
        <f t="shared" si="15"/>
        <v>-44.8907592</v>
      </c>
    </row>
    <row r="463" spans="1:21">
      <c r="A463" s="11" t="s">
        <v>2854</v>
      </c>
      <c r="B463" s="11" t="s">
        <v>2855</v>
      </c>
      <c r="C463" s="11">
        <v>54795758000192</v>
      </c>
      <c r="E463" s="12" t="s">
        <v>23</v>
      </c>
      <c r="F463" s="12" t="s">
        <v>2856</v>
      </c>
      <c r="G463" s="11" t="s">
        <v>2857</v>
      </c>
      <c r="H463" s="11" t="s">
        <v>291</v>
      </c>
      <c r="I463" s="11" t="s">
        <v>2858</v>
      </c>
      <c r="J463" s="11">
        <v>46140000</v>
      </c>
      <c r="K463" s="11" t="s">
        <v>39</v>
      </c>
      <c r="L463" s="11" t="s">
        <v>2857</v>
      </c>
      <c r="M463" s="11" t="s">
        <v>86</v>
      </c>
      <c r="P463" s="11" t="s">
        <v>2859</v>
      </c>
      <c r="Q463" s="13" t="s">
        <v>2860</v>
      </c>
      <c r="R463" s="11" t="s">
        <v>2861</v>
      </c>
      <c r="S463" s="12" t="s">
        <v>33</v>
      </c>
      <c r="T463" s="11" t="str">
        <f t="shared" si="14"/>
        <v>-13.6451172</v>
      </c>
      <c r="U463" s="11" t="str">
        <f t="shared" si="15"/>
        <v>-41.8960926</v>
      </c>
    </row>
    <row r="464" spans="1:21">
      <c r="A464" s="11" t="s">
        <v>2862</v>
      </c>
      <c r="B464" s="11" t="s">
        <v>2863</v>
      </c>
      <c r="C464" s="11">
        <v>52472429000185</v>
      </c>
      <c r="E464" s="12" t="s">
        <v>23</v>
      </c>
      <c r="F464" s="12" t="s">
        <v>2864</v>
      </c>
      <c r="G464" s="11" t="s">
        <v>2865</v>
      </c>
      <c r="H464" s="11">
        <v>80</v>
      </c>
      <c r="I464" s="11" t="s">
        <v>26</v>
      </c>
      <c r="J464" s="11">
        <v>47400000</v>
      </c>
      <c r="K464" s="11" t="s">
        <v>39</v>
      </c>
      <c r="L464" s="11" t="s">
        <v>2866</v>
      </c>
      <c r="M464" s="11" t="s">
        <v>86</v>
      </c>
      <c r="P464" s="11" t="s">
        <v>2867</v>
      </c>
      <c r="Q464" s="13">
        <v>-10.822939999999999</v>
      </c>
      <c r="R464" s="11">
        <v>-42.728149999999999</v>
      </c>
      <c r="S464" s="12" t="s">
        <v>70</v>
      </c>
      <c r="T464" s="11" t="str">
        <f t="shared" si="14"/>
        <v>-10.82294</v>
      </c>
      <c r="U464" s="11" t="str">
        <f t="shared" si="15"/>
        <v>-42.72815</v>
      </c>
    </row>
    <row r="465" spans="1:21">
      <c r="A465" s="11" t="s">
        <v>2868</v>
      </c>
      <c r="B465" s="11" t="s">
        <v>2664</v>
      </c>
      <c r="C465" s="11">
        <v>34757881000101</v>
      </c>
      <c r="E465" s="12" t="s">
        <v>23</v>
      </c>
      <c r="F465" s="12" t="s">
        <v>2665</v>
      </c>
      <c r="G465" s="11" t="s">
        <v>2869</v>
      </c>
      <c r="H465" s="11">
        <v>218</v>
      </c>
      <c r="I465" s="11" t="s">
        <v>286</v>
      </c>
      <c r="J465" s="11">
        <v>68580000</v>
      </c>
      <c r="K465" s="11" t="s">
        <v>39</v>
      </c>
      <c r="L465" s="11" t="s">
        <v>2668</v>
      </c>
      <c r="M465" s="11" t="s">
        <v>225</v>
      </c>
      <c r="P465" s="11" t="s">
        <v>2669</v>
      </c>
      <c r="Q465" s="13" t="s">
        <v>2670</v>
      </c>
      <c r="R465" s="11" t="s">
        <v>2671</v>
      </c>
      <c r="S465" s="12" t="s">
        <v>33</v>
      </c>
      <c r="T465" s="11" t="str">
        <f t="shared" si="14"/>
        <v>-5.1337224</v>
      </c>
      <c r="U465" s="11" t="str">
        <f t="shared" si="15"/>
        <v>-49.3321988</v>
      </c>
    </row>
    <row r="466" spans="1:21">
      <c r="A466" s="11" t="s">
        <v>2870</v>
      </c>
      <c r="B466" s="11" t="s">
        <v>2270</v>
      </c>
      <c r="C466" s="11">
        <v>52569838000609</v>
      </c>
      <c r="E466" s="12" t="s">
        <v>23</v>
      </c>
      <c r="F466" s="12" t="s">
        <v>2871</v>
      </c>
      <c r="G466" s="11" t="s">
        <v>2872</v>
      </c>
      <c r="H466" s="11">
        <v>5</v>
      </c>
      <c r="I466" s="11" t="s">
        <v>2873</v>
      </c>
      <c r="J466" s="11">
        <v>4462040</v>
      </c>
      <c r="K466" s="11" t="s">
        <v>2487</v>
      </c>
      <c r="L466" s="11" t="s">
        <v>411</v>
      </c>
      <c r="M466" s="11" t="s">
        <v>78</v>
      </c>
      <c r="P466" s="13" t="s">
        <v>2488</v>
      </c>
      <c r="Q466" s="13">
        <v>-2.36958989759226E+16</v>
      </c>
      <c r="R466" s="14">
        <v>-4.66689508305198E+16</v>
      </c>
      <c r="S466" s="12" t="s">
        <v>283</v>
      </c>
      <c r="T466" s="11" t="str">
        <f t="shared" si="14"/>
        <v>-23695898975922600</v>
      </c>
      <c r="U466" s="11" t="str">
        <f t="shared" si="15"/>
        <v>-46668950830519800</v>
      </c>
    </row>
    <row r="467" spans="1:21">
      <c r="P467" s="11"/>
    </row>
    <row r="468" spans="1:21">
      <c r="A468" s="11" t="s">
        <v>2874</v>
      </c>
      <c r="B468" s="11" t="s">
        <v>2875</v>
      </c>
      <c r="C468" s="11">
        <v>51674688000126</v>
      </c>
      <c r="E468" s="12" t="s">
        <v>23</v>
      </c>
      <c r="F468" s="12" t="s">
        <v>2876</v>
      </c>
      <c r="G468" s="11" t="s">
        <v>2877</v>
      </c>
      <c r="H468" s="11">
        <v>5318</v>
      </c>
      <c r="I468" s="11" t="s">
        <v>2355</v>
      </c>
      <c r="J468" s="11">
        <v>48909901</v>
      </c>
      <c r="K468" s="11" t="s">
        <v>2878</v>
      </c>
      <c r="L468" s="11" t="s">
        <v>171</v>
      </c>
      <c r="M468" s="11" t="s">
        <v>86</v>
      </c>
      <c r="P468" s="11" t="s">
        <v>2879</v>
      </c>
      <c r="Q468" s="13">
        <v>-9.4116700000000009</v>
      </c>
      <c r="R468" s="11">
        <v>-40.498609999999999</v>
      </c>
      <c r="S468" s="12" t="s">
        <v>70</v>
      </c>
      <c r="T468" s="11" t="str">
        <f t="shared" si="14"/>
        <v>-9.41167</v>
      </c>
      <c r="U468" s="11" t="str">
        <f t="shared" si="15"/>
        <v>-40.49861</v>
      </c>
    </row>
    <row r="469" spans="1:21">
      <c r="A469" s="11" t="s">
        <v>2880</v>
      </c>
      <c r="B469" s="11" t="s">
        <v>2881</v>
      </c>
      <c r="C469" s="11">
        <v>54913492000135</v>
      </c>
      <c r="E469" s="12" t="s">
        <v>23</v>
      </c>
      <c r="F469" s="12" t="s">
        <v>2882</v>
      </c>
      <c r="G469" s="11" t="s">
        <v>2883</v>
      </c>
      <c r="H469" s="11">
        <v>1818</v>
      </c>
      <c r="I469" s="11" t="s">
        <v>1010</v>
      </c>
      <c r="J469" s="11">
        <v>51011050</v>
      </c>
      <c r="K469" s="11" t="s">
        <v>542</v>
      </c>
      <c r="L469" s="11" t="s">
        <v>28</v>
      </c>
      <c r="M469" s="11" t="s">
        <v>29</v>
      </c>
      <c r="P469" s="11" t="s">
        <v>2884</v>
      </c>
      <c r="Q469" s="13" t="s">
        <v>2885</v>
      </c>
      <c r="R469" s="11" t="s">
        <v>2886</v>
      </c>
      <c r="S469" s="12" t="s">
        <v>33</v>
      </c>
      <c r="T469" s="11" t="str">
        <f t="shared" si="14"/>
        <v>-8.0958042</v>
      </c>
      <c r="U469" s="11" t="str">
        <f t="shared" si="15"/>
        <v>-34.8860378</v>
      </c>
    </row>
    <row r="470" spans="1:21">
      <c r="A470" s="11" t="s">
        <v>2887</v>
      </c>
      <c r="B470" s="11" t="s">
        <v>2023</v>
      </c>
      <c r="C470" s="11">
        <v>52067765000142</v>
      </c>
      <c r="E470" s="12" t="s">
        <v>23</v>
      </c>
      <c r="F470" s="12" t="s">
        <v>302</v>
      </c>
      <c r="G470" s="11" t="s">
        <v>2888</v>
      </c>
      <c r="H470" s="11">
        <v>19</v>
      </c>
      <c r="I470" s="11" t="s">
        <v>851</v>
      </c>
      <c r="J470" s="11">
        <v>58411116</v>
      </c>
      <c r="K470" s="11" t="s">
        <v>2026</v>
      </c>
      <c r="L470" s="11" t="s">
        <v>186</v>
      </c>
      <c r="M470" s="11" t="s">
        <v>187</v>
      </c>
      <c r="P470" s="11" t="s">
        <v>2027</v>
      </c>
      <c r="Q470" s="13">
        <v>-7.2510574999999999</v>
      </c>
      <c r="R470" s="11">
        <v>-35.882142600000002</v>
      </c>
      <c r="S470" s="12" t="s">
        <v>70</v>
      </c>
      <c r="T470" s="11" t="str">
        <f t="shared" si="14"/>
        <v>-7.2510575</v>
      </c>
      <c r="U470" s="11" t="str">
        <f t="shared" si="15"/>
        <v>-35.8821426</v>
      </c>
    </row>
    <row r="471" spans="1:21">
      <c r="A471" s="11" t="s">
        <v>2889</v>
      </c>
      <c r="B471" s="11" t="s">
        <v>1831</v>
      </c>
      <c r="C471" s="11">
        <v>51883376000122</v>
      </c>
      <c r="E471" s="12" t="s">
        <v>23</v>
      </c>
      <c r="F471" s="12" t="s">
        <v>302</v>
      </c>
      <c r="G471" s="11" t="s">
        <v>2890</v>
      </c>
      <c r="H471" s="11" t="s">
        <v>291</v>
      </c>
      <c r="I471" s="11" t="s">
        <v>26</v>
      </c>
      <c r="J471" s="11">
        <v>48700000</v>
      </c>
      <c r="K471" s="11" t="s">
        <v>1834</v>
      </c>
      <c r="L471" s="11" t="s">
        <v>1835</v>
      </c>
      <c r="M471" s="11" t="s">
        <v>86</v>
      </c>
      <c r="P471" s="11" t="s">
        <v>1836</v>
      </c>
      <c r="Q471" s="13" t="s">
        <v>1837</v>
      </c>
      <c r="R471" s="11" t="s">
        <v>1838</v>
      </c>
      <c r="S471" s="12" t="s">
        <v>33</v>
      </c>
      <c r="T471" s="11" t="str">
        <f t="shared" si="14"/>
        <v>-11.6619900</v>
      </c>
      <c r="U471" s="11" t="str">
        <f t="shared" si="15"/>
        <v>-39.0034021</v>
      </c>
    </row>
    <row r="472" spans="1:21">
      <c r="A472" s="11" t="s">
        <v>2891</v>
      </c>
      <c r="B472" s="11" t="s">
        <v>2892</v>
      </c>
      <c r="C472" s="11">
        <v>54932700000143</v>
      </c>
      <c r="E472" s="12" t="s">
        <v>23</v>
      </c>
      <c r="F472" s="12" t="s">
        <v>2893</v>
      </c>
      <c r="G472" s="11" t="s">
        <v>2894</v>
      </c>
      <c r="H472" s="11">
        <v>5000</v>
      </c>
      <c r="I472" s="11" t="s">
        <v>2895</v>
      </c>
      <c r="J472" s="11">
        <v>29103900</v>
      </c>
      <c r="K472" s="11" t="s">
        <v>2896</v>
      </c>
      <c r="L472" s="11" t="s">
        <v>2386</v>
      </c>
      <c r="M472" s="11" t="s">
        <v>918</v>
      </c>
      <c r="P472" s="11" t="s">
        <v>2897</v>
      </c>
      <c r="Q472" s="13" t="s">
        <v>2898</v>
      </c>
      <c r="R472" s="11" t="s">
        <v>2899</v>
      </c>
      <c r="S472" s="12" t="s">
        <v>33</v>
      </c>
      <c r="T472" s="11" t="str">
        <f t="shared" si="14"/>
        <v>-20.3930108</v>
      </c>
      <c r="U472" s="11" t="str">
        <f t="shared" si="15"/>
        <v>-40.3183222</v>
      </c>
    </row>
    <row r="473" spans="1:21">
      <c r="A473" s="11" t="s">
        <v>2900</v>
      </c>
      <c r="B473" s="11" t="s">
        <v>2901</v>
      </c>
      <c r="C473" s="11">
        <v>34481516000117</v>
      </c>
      <c r="E473" s="12" t="s">
        <v>23</v>
      </c>
      <c r="F473" s="12" t="s">
        <v>471</v>
      </c>
      <c r="G473" s="11" t="s">
        <v>2902</v>
      </c>
      <c r="H473" s="11">
        <v>1000</v>
      </c>
      <c r="I473" s="11" t="s">
        <v>2903</v>
      </c>
      <c r="J473" s="11">
        <v>64046902</v>
      </c>
      <c r="K473" s="11" t="s">
        <v>474</v>
      </c>
      <c r="L473" s="11" t="s">
        <v>390</v>
      </c>
      <c r="M473" s="11" t="s">
        <v>391</v>
      </c>
      <c r="P473" s="11" t="s">
        <v>475</v>
      </c>
      <c r="Q473" s="13" t="s">
        <v>476</v>
      </c>
      <c r="R473" s="11" t="s">
        <v>477</v>
      </c>
      <c r="S473" s="12" t="s">
        <v>33</v>
      </c>
      <c r="T473" s="11" t="str">
        <f t="shared" si="14"/>
        <v>-5.0847235</v>
      </c>
      <c r="U473" s="11" t="str">
        <f t="shared" si="15"/>
        <v>-42.7900370</v>
      </c>
    </row>
    <row r="474" spans="1:21">
      <c r="A474" s="11" t="s">
        <v>2904</v>
      </c>
      <c r="B474" s="11" t="s">
        <v>142</v>
      </c>
      <c r="C474" s="11">
        <v>32965077000192</v>
      </c>
      <c r="E474" s="12" t="s">
        <v>23</v>
      </c>
      <c r="F474" s="12" t="s">
        <v>143</v>
      </c>
      <c r="G474" s="11" t="s">
        <v>144</v>
      </c>
      <c r="H474" s="11">
        <v>3800</v>
      </c>
      <c r="I474" s="11" t="s">
        <v>26</v>
      </c>
      <c r="J474" s="11">
        <v>57073470</v>
      </c>
      <c r="K474" s="11" t="s">
        <v>145</v>
      </c>
      <c r="L474" s="11" t="s">
        <v>146</v>
      </c>
      <c r="M474" s="11" t="s">
        <v>147</v>
      </c>
      <c r="P474" s="11" t="s">
        <v>148</v>
      </c>
      <c r="Q474" s="13" t="s">
        <v>149</v>
      </c>
      <c r="R474" s="11" t="s">
        <v>150</v>
      </c>
      <c r="S474" s="12" t="s">
        <v>33</v>
      </c>
      <c r="T474" s="11" t="str">
        <f t="shared" si="14"/>
        <v>-9.5653853</v>
      </c>
      <c r="U474" s="11" t="str">
        <f t="shared" si="15"/>
        <v>-35.7761216</v>
      </c>
    </row>
    <row r="475" spans="1:21">
      <c r="P475" s="11"/>
    </row>
    <row r="476" spans="1:21">
      <c r="A476" s="11" t="s">
        <v>2905</v>
      </c>
      <c r="B476" s="11" t="s">
        <v>2906</v>
      </c>
      <c r="C476" s="11">
        <v>49621750000170</v>
      </c>
      <c r="E476" s="12" t="s">
        <v>23</v>
      </c>
      <c r="F476" s="12" t="s">
        <v>2907</v>
      </c>
      <c r="G476" s="11" t="s">
        <v>2908</v>
      </c>
      <c r="H476" s="11">
        <v>1233</v>
      </c>
      <c r="I476" s="11" t="s">
        <v>26</v>
      </c>
      <c r="J476" s="11">
        <v>33250033</v>
      </c>
      <c r="K476" s="11" t="s">
        <v>39</v>
      </c>
      <c r="L476" s="11" t="s">
        <v>2909</v>
      </c>
      <c r="M476" s="11" t="s">
        <v>404</v>
      </c>
      <c r="P476" s="11" t="s">
        <v>2910</v>
      </c>
      <c r="Q476" s="13" t="s">
        <v>2911</v>
      </c>
      <c r="R476" s="11" t="s">
        <v>2912</v>
      </c>
      <c r="S476" s="12" t="s">
        <v>33</v>
      </c>
      <c r="T476" s="11" t="str">
        <f t="shared" si="14"/>
        <v>-19.6219094</v>
      </c>
      <c r="U476" s="11" t="str">
        <f t="shared" si="15"/>
        <v>-44.0409319</v>
      </c>
    </row>
    <row r="477" spans="1:21">
      <c r="A477" s="11" t="s">
        <v>2913</v>
      </c>
      <c r="B477" s="11" t="s">
        <v>2914</v>
      </c>
      <c r="C477" s="11">
        <v>55051378000106</v>
      </c>
      <c r="E477" s="12" t="s">
        <v>23</v>
      </c>
      <c r="F477" s="12" t="s">
        <v>2915</v>
      </c>
      <c r="G477" s="11" t="s">
        <v>2916</v>
      </c>
      <c r="H477" s="11" t="s">
        <v>291</v>
      </c>
      <c r="I477" s="11" t="s">
        <v>2917</v>
      </c>
      <c r="J477" s="11">
        <v>57770000</v>
      </c>
      <c r="K477" s="11" t="s">
        <v>39</v>
      </c>
      <c r="L477" s="11" t="s">
        <v>527</v>
      </c>
      <c r="M477" s="11" t="s">
        <v>147</v>
      </c>
      <c r="P477" s="11" t="s">
        <v>2918</v>
      </c>
      <c r="Q477" s="13">
        <v>-9.7166700000000006</v>
      </c>
      <c r="R477" s="11">
        <v>-36.450000000000003</v>
      </c>
      <c r="S477" s="12" t="s">
        <v>70</v>
      </c>
      <c r="T477" s="11" t="str">
        <f t="shared" si="14"/>
        <v>-9.71667</v>
      </c>
      <c r="U477" s="11" t="str">
        <f t="shared" si="15"/>
        <v>-36.45</v>
      </c>
    </row>
    <row r="478" spans="1:21">
      <c r="A478" s="11" t="s">
        <v>2919</v>
      </c>
      <c r="B478" s="11" t="s">
        <v>2664</v>
      </c>
      <c r="C478" s="11">
        <v>34757881000101</v>
      </c>
      <c r="E478" s="12" t="s">
        <v>23</v>
      </c>
      <c r="F478" s="12" t="s">
        <v>2665</v>
      </c>
      <c r="G478" s="11" t="s">
        <v>2920</v>
      </c>
      <c r="H478" s="11">
        <v>218</v>
      </c>
      <c r="I478" s="11" t="s">
        <v>26</v>
      </c>
      <c r="J478" s="11">
        <v>68580000</v>
      </c>
      <c r="K478" s="11" t="s">
        <v>39</v>
      </c>
      <c r="L478" s="11" t="s">
        <v>2668</v>
      </c>
      <c r="M478" s="11" t="s">
        <v>225</v>
      </c>
      <c r="P478" s="11" t="s">
        <v>2669</v>
      </c>
      <c r="Q478" s="13" t="s">
        <v>2670</v>
      </c>
      <c r="R478" s="11" t="s">
        <v>2671</v>
      </c>
      <c r="S478" s="12" t="s">
        <v>33</v>
      </c>
      <c r="T478" s="11" t="str">
        <f t="shared" si="14"/>
        <v>-5.1337224</v>
      </c>
      <c r="U478" s="11" t="str">
        <f t="shared" si="15"/>
        <v>-49.3321988</v>
      </c>
    </row>
    <row r="479" spans="1:21">
      <c r="P479" s="11"/>
    </row>
    <row r="480" spans="1:21">
      <c r="A480" s="11" t="s">
        <v>2921</v>
      </c>
      <c r="B480" s="11" t="s">
        <v>2664</v>
      </c>
      <c r="C480" s="11">
        <v>34757881000101</v>
      </c>
      <c r="E480" s="12" t="s">
        <v>23</v>
      </c>
      <c r="F480" s="12" t="s">
        <v>2665</v>
      </c>
      <c r="G480" s="11" t="s">
        <v>2920</v>
      </c>
      <c r="H480" s="11">
        <v>218</v>
      </c>
      <c r="I480" s="11" t="s">
        <v>1731</v>
      </c>
      <c r="J480" s="11">
        <v>68580000</v>
      </c>
      <c r="K480" s="11" t="s">
        <v>39</v>
      </c>
      <c r="L480" s="11" t="s">
        <v>2668</v>
      </c>
      <c r="M480" s="11" t="s">
        <v>225</v>
      </c>
      <c r="P480" s="11" t="s">
        <v>2669</v>
      </c>
      <c r="Q480" s="13" t="s">
        <v>2670</v>
      </c>
      <c r="R480" s="11" t="s">
        <v>2671</v>
      </c>
      <c r="S480" s="12" t="s">
        <v>33</v>
      </c>
      <c r="T480" s="11" t="str">
        <f t="shared" si="14"/>
        <v>-5.1337224</v>
      </c>
      <c r="U480" s="11" t="str">
        <f t="shared" si="15"/>
        <v>-49.3321988</v>
      </c>
    </row>
    <row r="481" spans="1:21">
      <c r="A481" s="11" t="s">
        <v>2922</v>
      </c>
      <c r="B481" s="11" t="s">
        <v>2923</v>
      </c>
      <c r="C481" s="11">
        <v>25426000000189</v>
      </c>
      <c r="E481" s="12" t="s">
        <v>23</v>
      </c>
      <c r="F481" s="12" t="s">
        <v>2924</v>
      </c>
      <c r="G481" s="11" t="s">
        <v>2925</v>
      </c>
      <c r="H481" s="11">
        <v>300</v>
      </c>
      <c r="I481" s="11" t="s">
        <v>2926</v>
      </c>
      <c r="J481" s="11">
        <v>45140000</v>
      </c>
      <c r="K481" s="11" t="s">
        <v>39</v>
      </c>
      <c r="L481" s="11" t="s">
        <v>376</v>
      </c>
      <c r="M481" s="11" t="s">
        <v>86</v>
      </c>
      <c r="P481" s="11" t="s">
        <v>2927</v>
      </c>
      <c r="Q481" s="13">
        <v>-15.244999999999999</v>
      </c>
      <c r="R481" s="11">
        <v>-40.62444</v>
      </c>
      <c r="S481" s="12" t="s">
        <v>70</v>
      </c>
      <c r="T481" s="11" t="str">
        <f t="shared" si="14"/>
        <v>-15.245</v>
      </c>
      <c r="U481" s="11" t="str">
        <f t="shared" si="15"/>
        <v>-40.62444</v>
      </c>
    </row>
    <row r="482" spans="1:21">
      <c r="A482" s="11" t="s">
        <v>2928</v>
      </c>
      <c r="B482" s="11" t="s">
        <v>2929</v>
      </c>
      <c r="C482" s="11">
        <v>51004334000174</v>
      </c>
      <c r="E482" s="12" t="s">
        <v>23</v>
      </c>
      <c r="F482" s="12" t="s">
        <v>2930</v>
      </c>
      <c r="G482" s="11" t="s">
        <v>2931</v>
      </c>
      <c r="H482" s="11">
        <v>305</v>
      </c>
      <c r="I482" s="11" t="s">
        <v>26</v>
      </c>
      <c r="J482" s="11">
        <v>64460000</v>
      </c>
      <c r="K482" s="11" t="s">
        <v>2932</v>
      </c>
      <c r="L482" s="11" t="s">
        <v>2931</v>
      </c>
      <c r="M482" s="11" t="s">
        <v>391</v>
      </c>
      <c r="P482" s="11" t="s">
        <v>2933</v>
      </c>
      <c r="Q482" s="13" t="s">
        <v>2934</v>
      </c>
      <c r="R482" s="11" t="s">
        <v>2935</v>
      </c>
      <c r="S482" s="12" t="s">
        <v>33</v>
      </c>
      <c r="T482" s="11" t="str">
        <f t="shared" si="14"/>
        <v>-5.8950380</v>
      </c>
      <c r="U482" s="11" t="str">
        <f t="shared" si="15"/>
        <v>-42.6368104</v>
      </c>
    </row>
    <row r="483" spans="1:21">
      <c r="A483" s="11" t="s">
        <v>2936</v>
      </c>
      <c r="B483" s="11" t="s">
        <v>2937</v>
      </c>
      <c r="C483" s="11">
        <v>54356949000158</v>
      </c>
      <c r="E483" s="12" t="s">
        <v>23</v>
      </c>
      <c r="F483" s="12" t="s">
        <v>1163</v>
      </c>
      <c r="G483" s="11" t="s">
        <v>2938</v>
      </c>
      <c r="H483" s="11">
        <v>440</v>
      </c>
      <c r="I483" s="11" t="s">
        <v>1331</v>
      </c>
      <c r="J483" s="11">
        <v>49050390</v>
      </c>
      <c r="K483" s="11" t="s">
        <v>2939</v>
      </c>
      <c r="L483" s="11" t="s">
        <v>48</v>
      </c>
      <c r="M483" s="11" t="s">
        <v>49</v>
      </c>
      <c r="P483" s="11" t="s">
        <v>2940</v>
      </c>
      <c r="Q483" s="13" t="s">
        <v>2941</v>
      </c>
      <c r="R483" s="11" t="s">
        <v>2942</v>
      </c>
      <c r="S483" s="12" t="s">
        <v>33</v>
      </c>
      <c r="T483" s="11" t="str">
        <f t="shared" si="14"/>
        <v>-10.9242757</v>
      </c>
      <c r="U483" s="11" t="str">
        <f t="shared" si="15"/>
        <v>-37.0652971</v>
      </c>
    </row>
    <row r="484" spans="1:21">
      <c r="A484" s="11" t="s">
        <v>2943</v>
      </c>
      <c r="B484" s="11" t="s">
        <v>1720</v>
      </c>
      <c r="C484" s="11">
        <v>51347691000135</v>
      </c>
      <c r="E484" s="12" t="s">
        <v>23</v>
      </c>
      <c r="F484" s="12" t="s">
        <v>2944</v>
      </c>
      <c r="G484" s="11" t="s">
        <v>1722</v>
      </c>
      <c r="H484" s="11">
        <v>40</v>
      </c>
      <c r="I484" s="11" t="s">
        <v>26</v>
      </c>
      <c r="J484" s="11">
        <v>55750000</v>
      </c>
      <c r="K484" s="11" t="s">
        <v>39</v>
      </c>
      <c r="L484" s="11" t="s">
        <v>1724</v>
      </c>
      <c r="M484" s="11" t="s">
        <v>29</v>
      </c>
      <c r="P484" s="11" t="s">
        <v>1725</v>
      </c>
      <c r="Q484" s="13" t="s">
        <v>1726</v>
      </c>
      <c r="R484" s="11" t="s">
        <v>1727</v>
      </c>
      <c r="S484" s="12" t="s">
        <v>33</v>
      </c>
      <c r="T484" s="11" t="str">
        <f t="shared" si="14"/>
        <v>-7.8424353</v>
      </c>
      <c r="U484" s="11" t="str">
        <f t="shared" si="15"/>
        <v>-35.7539722</v>
      </c>
    </row>
    <row r="485" spans="1:21">
      <c r="A485" s="11" t="s">
        <v>2945</v>
      </c>
      <c r="B485" s="11" t="s">
        <v>2946</v>
      </c>
      <c r="C485" s="11">
        <v>55050806000186</v>
      </c>
      <c r="E485" s="12" t="s">
        <v>23</v>
      </c>
      <c r="F485" s="12" t="s">
        <v>2947</v>
      </c>
      <c r="G485" s="11" t="s">
        <v>860</v>
      </c>
      <c r="H485" s="11">
        <v>180</v>
      </c>
      <c r="I485" s="11" t="s">
        <v>978</v>
      </c>
      <c r="J485" s="11">
        <v>63508120</v>
      </c>
      <c r="K485" s="11" t="s">
        <v>861</v>
      </c>
      <c r="L485" s="11" t="s">
        <v>862</v>
      </c>
      <c r="M485" s="11" t="s">
        <v>354</v>
      </c>
      <c r="P485" s="11" t="s">
        <v>863</v>
      </c>
      <c r="Q485" s="13" t="s">
        <v>864</v>
      </c>
      <c r="R485" s="11" t="s">
        <v>865</v>
      </c>
      <c r="S485" s="12" t="s">
        <v>33</v>
      </c>
      <c r="T485" s="11" t="str">
        <f t="shared" si="14"/>
        <v>-6.3479290</v>
      </c>
      <c r="U485" s="11" t="str">
        <f t="shared" si="15"/>
        <v>-39.3066907</v>
      </c>
    </row>
    <row r="486" spans="1:21">
      <c r="A486" s="11" t="s">
        <v>2948</v>
      </c>
      <c r="B486" s="11" t="s">
        <v>2949</v>
      </c>
      <c r="C486" s="11">
        <v>55134978000138</v>
      </c>
      <c r="E486" s="12" t="s">
        <v>23</v>
      </c>
      <c r="F486" s="12" t="s">
        <v>2950</v>
      </c>
      <c r="G486" s="11" t="s">
        <v>2951</v>
      </c>
      <c r="H486" s="11">
        <v>1119</v>
      </c>
      <c r="I486" s="11" t="s">
        <v>26</v>
      </c>
      <c r="J486" s="11">
        <v>32604345</v>
      </c>
      <c r="K486" s="11" t="s">
        <v>2952</v>
      </c>
      <c r="L486" s="11" t="s">
        <v>403</v>
      </c>
      <c r="M486" s="11" t="s">
        <v>404</v>
      </c>
      <c r="P486" s="11" t="s">
        <v>2953</v>
      </c>
      <c r="Q486" s="13">
        <v>-19.959749200000001</v>
      </c>
      <c r="R486" s="11">
        <v>-44.190798899999997</v>
      </c>
      <c r="S486" s="12" t="s">
        <v>70</v>
      </c>
      <c r="T486" s="11" t="str">
        <f t="shared" si="14"/>
        <v>-19.9597492</v>
      </c>
      <c r="U486" s="11" t="str">
        <f t="shared" si="15"/>
        <v>-44.1907989</v>
      </c>
    </row>
    <row r="487" spans="1:21">
      <c r="A487" s="11" t="s">
        <v>2954</v>
      </c>
      <c r="B487" s="11" t="s">
        <v>2955</v>
      </c>
      <c r="C487" s="11">
        <v>54807085000143</v>
      </c>
      <c r="E487" s="12" t="s">
        <v>23</v>
      </c>
      <c r="F487" s="12" t="s">
        <v>2746</v>
      </c>
      <c r="G487" s="11" t="s">
        <v>2956</v>
      </c>
      <c r="H487" s="11">
        <v>101</v>
      </c>
      <c r="I487" s="11" t="s">
        <v>26</v>
      </c>
      <c r="J487" s="11">
        <v>9521310</v>
      </c>
      <c r="K487" s="11" t="s">
        <v>1862</v>
      </c>
      <c r="L487" s="11" t="s">
        <v>2957</v>
      </c>
      <c r="M487" s="11" t="s">
        <v>78</v>
      </c>
      <c r="P487" s="11" t="s">
        <v>2958</v>
      </c>
      <c r="Q487" s="13">
        <v>-23.616392900000001</v>
      </c>
      <c r="R487" s="11">
        <v>-46.571235600000001</v>
      </c>
      <c r="S487" s="12" t="s">
        <v>70</v>
      </c>
      <c r="T487" s="11" t="str">
        <f t="shared" si="14"/>
        <v>-23.6163929</v>
      </c>
      <c r="U487" s="11" t="str">
        <f t="shared" si="15"/>
        <v>-46.5712356</v>
      </c>
    </row>
    <row r="488" spans="1:21">
      <c r="P488" s="11"/>
    </row>
    <row r="489" spans="1:21">
      <c r="A489" s="11" t="s">
        <v>2959</v>
      </c>
      <c r="B489" s="11" t="s">
        <v>1744</v>
      </c>
      <c r="C489" s="11">
        <v>47945083000406</v>
      </c>
      <c r="E489" s="12" t="s">
        <v>23</v>
      </c>
      <c r="F489" s="12" t="s">
        <v>953</v>
      </c>
      <c r="G489" s="11" t="s">
        <v>2960</v>
      </c>
      <c r="H489" s="11" t="s">
        <v>291</v>
      </c>
      <c r="I489" s="11" t="s">
        <v>26</v>
      </c>
      <c r="J489" s="11">
        <v>64804140</v>
      </c>
      <c r="K489" s="11" t="s">
        <v>2961</v>
      </c>
      <c r="L489" s="11" t="s">
        <v>2962</v>
      </c>
      <c r="M489" s="11" t="s">
        <v>391</v>
      </c>
      <c r="P489" s="11" t="s">
        <v>2963</v>
      </c>
      <c r="Q489" s="13">
        <v>-6.76694</v>
      </c>
      <c r="R489" s="11">
        <v>-43.022500000000001</v>
      </c>
      <c r="S489" s="12" t="s">
        <v>70</v>
      </c>
      <c r="T489" s="11" t="str">
        <f t="shared" si="14"/>
        <v>-6.76694</v>
      </c>
      <c r="U489" s="11" t="str">
        <f t="shared" si="15"/>
        <v>-43.0225</v>
      </c>
    </row>
    <row r="490" spans="1:21">
      <c r="A490" s="11" t="s">
        <v>2964</v>
      </c>
      <c r="B490" s="11" t="s">
        <v>2965</v>
      </c>
      <c r="C490" s="11">
        <v>48922575000198</v>
      </c>
      <c r="E490" s="12" t="s">
        <v>23</v>
      </c>
      <c r="F490" s="12" t="s">
        <v>2966</v>
      </c>
      <c r="G490" s="11" t="s">
        <v>2967</v>
      </c>
      <c r="H490" s="11">
        <v>4479</v>
      </c>
      <c r="I490" s="11" t="s">
        <v>26</v>
      </c>
      <c r="J490" s="11">
        <v>40280000</v>
      </c>
      <c r="K490" s="11" t="s">
        <v>2968</v>
      </c>
      <c r="L490" s="11" t="s">
        <v>755</v>
      </c>
      <c r="M490" s="11" t="s">
        <v>86</v>
      </c>
      <c r="P490" s="11" t="s">
        <v>2969</v>
      </c>
      <c r="Q490" s="13" t="s">
        <v>2970</v>
      </c>
      <c r="R490" s="11" t="s">
        <v>2971</v>
      </c>
      <c r="S490" s="12" t="s">
        <v>33</v>
      </c>
      <c r="T490" s="11" t="str">
        <f t="shared" si="14"/>
        <v>-12.9884786</v>
      </c>
      <c r="U490" s="11" t="str">
        <f t="shared" si="15"/>
        <v>-38.4698472</v>
      </c>
    </row>
    <row r="491" spans="1:21">
      <c r="P491" s="11"/>
    </row>
    <row r="492" spans="1:21">
      <c r="A492" s="11" t="s">
        <v>2972</v>
      </c>
      <c r="B492" s="11" t="s">
        <v>1556</v>
      </c>
      <c r="C492" s="11">
        <v>44028430000197</v>
      </c>
      <c r="E492" s="12" t="s">
        <v>23</v>
      </c>
      <c r="F492" s="12" t="s">
        <v>1557</v>
      </c>
      <c r="G492" s="11" t="s">
        <v>2973</v>
      </c>
      <c r="H492" s="11">
        <v>146</v>
      </c>
      <c r="I492" s="11" t="s">
        <v>26</v>
      </c>
      <c r="J492" s="11">
        <v>78060601</v>
      </c>
      <c r="K492" s="11" t="s">
        <v>2974</v>
      </c>
      <c r="L492" s="11" t="s">
        <v>1948</v>
      </c>
      <c r="M492" s="11" t="s">
        <v>1561</v>
      </c>
      <c r="P492" s="11" t="s">
        <v>2177</v>
      </c>
      <c r="Q492" s="13" t="s">
        <v>2178</v>
      </c>
      <c r="R492" s="11" t="s">
        <v>2179</v>
      </c>
      <c r="S492" s="12" t="s">
        <v>33</v>
      </c>
      <c r="T492" s="11" t="str">
        <f t="shared" si="14"/>
        <v>-15.6079032</v>
      </c>
      <c r="U492" s="11" t="str">
        <f t="shared" si="15"/>
        <v>-56.0697396</v>
      </c>
    </row>
    <row r="493" spans="1:21">
      <c r="A493" s="11" t="s">
        <v>2975</v>
      </c>
      <c r="B493" s="11" t="s">
        <v>2976</v>
      </c>
      <c r="C493" s="11">
        <v>41743751000185</v>
      </c>
      <c r="E493" s="12" t="s">
        <v>23</v>
      </c>
      <c r="F493" s="12" t="s">
        <v>2977</v>
      </c>
      <c r="G493" s="11" t="s">
        <v>2978</v>
      </c>
      <c r="H493" s="11">
        <v>70</v>
      </c>
      <c r="I493" s="11" t="s">
        <v>2184</v>
      </c>
      <c r="J493" s="11">
        <v>63340000</v>
      </c>
      <c r="K493" s="11" t="s">
        <v>39</v>
      </c>
      <c r="L493" s="11" t="s">
        <v>2979</v>
      </c>
      <c r="M493" s="11" t="s">
        <v>354</v>
      </c>
      <c r="P493" s="11" t="s">
        <v>2980</v>
      </c>
      <c r="Q493" s="13">
        <v>-6.78972</v>
      </c>
      <c r="R493" s="11">
        <v>-38.719169999999998</v>
      </c>
      <c r="S493" s="12" t="s">
        <v>70</v>
      </c>
      <c r="T493" s="11" t="str">
        <f t="shared" si="14"/>
        <v>-6.78972</v>
      </c>
      <c r="U493" s="11" t="str">
        <f t="shared" si="15"/>
        <v>-38.71917</v>
      </c>
    </row>
    <row r="494" spans="1:21">
      <c r="P494" s="11"/>
    </row>
    <row r="495" spans="1:21">
      <c r="A495" s="11" t="s">
        <v>2981</v>
      </c>
      <c r="B495" s="11" t="s">
        <v>999</v>
      </c>
      <c r="C495" s="11">
        <v>47406126000124</v>
      </c>
      <c r="E495" s="12" t="s">
        <v>23</v>
      </c>
      <c r="F495" s="12" t="s">
        <v>1000</v>
      </c>
      <c r="G495" s="11" t="s">
        <v>2982</v>
      </c>
      <c r="H495" s="11">
        <v>2222</v>
      </c>
      <c r="I495" s="11" t="s">
        <v>2983</v>
      </c>
      <c r="J495" s="11">
        <v>64290000</v>
      </c>
      <c r="K495" s="11" t="s">
        <v>39</v>
      </c>
      <c r="L495" s="11" t="s">
        <v>1001</v>
      </c>
      <c r="M495" s="11" t="s">
        <v>391</v>
      </c>
      <c r="P495" s="11" t="s">
        <v>1003</v>
      </c>
      <c r="Q495" s="13" t="s">
        <v>1004</v>
      </c>
      <c r="R495" s="11" t="s">
        <v>1005</v>
      </c>
      <c r="S495" s="12" t="s">
        <v>33</v>
      </c>
      <c r="T495" s="11" t="str">
        <f t="shared" si="14"/>
        <v>-5.0393915</v>
      </c>
      <c r="U495" s="11" t="str">
        <f t="shared" si="15"/>
        <v>-42.4611694</v>
      </c>
    </row>
    <row r="496" spans="1:21">
      <c r="A496" s="11" t="s">
        <v>2984</v>
      </c>
      <c r="B496" s="11" t="s">
        <v>1248</v>
      </c>
      <c r="C496" s="11">
        <v>43374954000177</v>
      </c>
      <c r="E496" s="12" t="s">
        <v>23</v>
      </c>
      <c r="F496" s="12" t="s">
        <v>1249</v>
      </c>
      <c r="G496" s="11" t="s">
        <v>1250</v>
      </c>
      <c r="H496" s="11">
        <v>20</v>
      </c>
      <c r="I496" s="11" t="s">
        <v>2985</v>
      </c>
      <c r="J496" s="11">
        <v>40350250</v>
      </c>
      <c r="K496" s="11" t="s">
        <v>1252</v>
      </c>
      <c r="L496" s="11" t="s">
        <v>755</v>
      </c>
      <c r="M496" s="11" t="s">
        <v>86</v>
      </c>
      <c r="P496" s="11" t="s">
        <v>1253</v>
      </c>
      <c r="Q496" s="13">
        <v>-12.946865600000001</v>
      </c>
      <c r="R496" s="11">
        <v>-38.4761813</v>
      </c>
      <c r="S496" s="12" t="s">
        <v>70</v>
      </c>
      <c r="T496" s="11" t="str">
        <f t="shared" si="14"/>
        <v>-12.9468656</v>
      </c>
      <c r="U496" s="11" t="str">
        <f t="shared" si="15"/>
        <v>-38.4761813</v>
      </c>
    </row>
    <row r="497" spans="1:21">
      <c r="A497" s="11" t="s">
        <v>2986</v>
      </c>
      <c r="B497" s="11" t="s">
        <v>2987</v>
      </c>
      <c r="C497" s="11">
        <v>34881356000799</v>
      </c>
      <c r="E497" s="12" t="s">
        <v>23</v>
      </c>
      <c r="F497" s="12" t="s">
        <v>2988</v>
      </c>
      <c r="G497" s="11" t="s">
        <v>2989</v>
      </c>
      <c r="H497" s="11">
        <v>400</v>
      </c>
      <c r="I497" s="11" t="s">
        <v>692</v>
      </c>
      <c r="J497" s="11">
        <v>6440180</v>
      </c>
      <c r="K497" s="11" t="s">
        <v>2990</v>
      </c>
      <c r="L497" s="11" t="s">
        <v>689</v>
      </c>
      <c r="M497" s="11" t="s">
        <v>78</v>
      </c>
      <c r="P497" s="11" t="s">
        <v>2991</v>
      </c>
      <c r="Q497" s="13">
        <v>-23.510560000000002</v>
      </c>
      <c r="R497" s="11">
        <v>-46.876109999999997</v>
      </c>
      <c r="S497" s="12" t="s">
        <v>70</v>
      </c>
      <c r="T497" s="11" t="str">
        <f t="shared" si="14"/>
        <v>-23.51056</v>
      </c>
      <c r="U497" s="11" t="str">
        <f t="shared" si="15"/>
        <v>-46.87611</v>
      </c>
    </row>
    <row r="498" spans="1:21">
      <c r="A498" s="11" t="s">
        <v>2992</v>
      </c>
      <c r="B498" s="11" t="s">
        <v>2993</v>
      </c>
      <c r="C498" s="11">
        <v>17916225000195</v>
      </c>
      <c r="E498" s="12" t="s">
        <v>23</v>
      </c>
      <c r="F498" s="12" t="s">
        <v>2994</v>
      </c>
      <c r="G498" s="11" t="s">
        <v>2995</v>
      </c>
      <c r="H498" s="11">
        <v>635</v>
      </c>
      <c r="I498" s="11" t="s">
        <v>2996</v>
      </c>
      <c r="J498" s="11">
        <v>64300000</v>
      </c>
      <c r="K498" s="11" t="s">
        <v>39</v>
      </c>
      <c r="L498" s="11" t="s">
        <v>2995</v>
      </c>
      <c r="M498" s="11" t="s">
        <v>391</v>
      </c>
      <c r="P498" s="11" t="s">
        <v>2997</v>
      </c>
      <c r="Q498" s="13" t="s">
        <v>2998</v>
      </c>
      <c r="R498" s="11" t="s">
        <v>2999</v>
      </c>
      <c r="S498" s="12" t="s">
        <v>33</v>
      </c>
      <c r="T498" s="11" t="str">
        <f t="shared" si="14"/>
        <v>-6.4048149</v>
      </c>
      <c r="U498" s="11" t="str">
        <f t="shared" si="15"/>
        <v>-41.7382812</v>
      </c>
    </row>
    <row r="499" spans="1:21">
      <c r="A499" s="11" t="s">
        <v>3000</v>
      </c>
      <c r="B499" s="11" t="s">
        <v>3001</v>
      </c>
      <c r="C499" s="11">
        <v>55157574000160</v>
      </c>
      <c r="E499" s="12" t="s">
        <v>23</v>
      </c>
      <c r="F499" s="12" t="s">
        <v>3002</v>
      </c>
      <c r="G499" s="11" t="s">
        <v>3003</v>
      </c>
      <c r="H499" s="11">
        <v>1025</v>
      </c>
      <c r="I499" s="11" t="s">
        <v>26</v>
      </c>
      <c r="J499" s="11">
        <v>49140362</v>
      </c>
      <c r="K499" s="11" t="s">
        <v>39</v>
      </c>
      <c r="L499" s="11" t="s">
        <v>3004</v>
      </c>
      <c r="M499" s="11" t="s">
        <v>49</v>
      </c>
      <c r="P499" s="11" t="s">
        <v>3005</v>
      </c>
      <c r="Q499" s="13" t="s">
        <v>3006</v>
      </c>
      <c r="R499" s="11" t="s">
        <v>3007</v>
      </c>
      <c r="S499" s="12" t="s">
        <v>33</v>
      </c>
      <c r="T499" s="11" t="str">
        <f t="shared" si="14"/>
        <v>-10.9054754</v>
      </c>
      <c r="U499" s="11" t="str">
        <f t="shared" si="15"/>
        <v>-37.0374368</v>
      </c>
    </row>
    <row r="500" spans="1:21">
      <c r="A500" s="11" t="s">
        <v>3008</v>
      </c>
      <c r="B500" s="11" t="s">
        <v>3009</v>
      </c>
      <c r="C500" s="11">
        <v>55206264000198</v>
      </c>
      <c r="E500" s="12" t="s">
        <v>23</v>
      </c>
      <c r="F500" s="12" t="s">
        <v>3010</v>
      </c>
      <c r="G500" s="11" t="s">
        <v>3011</v>
      </c>
      <c r="H500" s="11">
        <v>141</v>
      </c>
      <c r="I500" s="11" t="s">
        <v>26</v>
      </c>
      <c r="J500" s="11">
        <v>83535000</v>
      </c>
      <c r="K500" s="11" t="s">
        <v>3012</v>
      </c>
      <c r="L500" s="11" t="s">
        <v>3011</v>
      </c>
      <c r="M500" s="11" t="s">
        <v>679</v>
      </c>
      <c r="P500" s="11" t="s">
        <v>3013</v>
      </c>
      <c r="Q500" s="13">
        <v>-25.36861</v>
      </c>
      <c r="R500" s="11">
        <v>-49.451390000000004</v>
      </c>
      <c r="S500" s="12" t="s">
        <v>70</v>
      </c>
      <c r="T500" s="11" t="str">
        <f t="shared" si="14"/>
        <v>-25.36861</v>
      </c>
      <c r="U500" s="11" t="str">
        <f t="shared" si="15"/>
        <v>-49.45139</v>
      </c>
    </row>
    <row r="501" spans="1:21">
      <c r="A501" s="11" t="s">
        <v>3014</v>
      </c>
      <c r="B501" s="11" t="s">
        <v>262</v>
      </c>
      <c r="C501" s="11">
        <v>31445469000249</v>
      </c>
      <c r="E501" s="12" t="s">
        <v>23</v>
      </c>
      <c r="F501" s="12" t="s">
        <v>3015</v>
      </c>
      <c r="G501" s="11" t="s">
        <v>3016</v>
      </c>
      <c r="H501" s="11">
        <v>181</v>
      </c>
      <c r="I501" s="11" t="s">
        <v>26</v>
      </c>
      <c r="J501" s="11">
        <v>55293025</v>
      </c>
      <c r="K501" s="11" t="s">
        <v>3017</v>
      </c>
      <c r="L501" s="11" t="s">
        <v>266</v>
      </c>
      <c r="M501" s="11" t="s">
        <v>29</v>
      </c>
      <c r="P501" s="11" t="s">
        <v>3018</v>
      </c>
      <c r="Q501" s="13" t="s">
        <v>3019</v>
      </c>
      <c r="R501" s="11" t="s">
        <v>3020</v>
      </c>
      <c r="S501" s="12" t="s">
        <v>33</v>
      </c>
      <c r="T501" s="11" t="str">
        <f t="shared" si="14"/>
        <v>-8.8905448</v>
      </c>
      <c r="U501" s="11" t="str">
        <f t="shared" si="15"/>
        <v>-36.4953141</v>
      </c>
    </row>
    <row r="502" spans="1:21">
      <c r="A502" s="11" t="s">
        <v>3021</v>
      </c>
      <c r="B502" s="11" t="s">
        <v>3022</v>
      </c>
      <c r="C502" s="11">
        <v>41109055000111</v>
      </c>
      <c r="E502" s="12" t="s">
        <v>23</v>
      </c>
      <c r="F502" s="12" t="s">
        <v>3023</v>
      </c>
      <c r="G502" s="11" t="s">
        <v>3024</v>
      </c>
      <c r="H502" s="11">
        <v>51</v>
      </c>
      <c r="I502" s="11" t="s">
        <v>3025</v>
      </c>
      <c r="J502" s="11">
        <v>96201240</v>
      </c>
      <c r="K502" s="11" t="s">
        <v>3026</v>
      </c>
      <c r="L502" s="11" t="s">
        <v>3027</v>
      </c>
      <c r="M502" s="11" t="s">
        <v>535</v>
      </c>
      <c r="P502" s="11" t="s">
        <v>3028</v>
      </c>
      <c r="Q502" s="13">
        <v>-32.034999999999997</v>
      </c>
      <c r="R502" s="11">
        <v>-52.098610000000001</v>
      </c>
      <c r="S502" s="12" t="s">
        <v>70</v>
      </c>
      <c r="T502" s="11" t="str">
        <f t="shared" si="14"/>
        <v>-32.035</v>
      </c>
      <c r="U502" s="11" t="str">
        <f t="shared" si="15"/>
        <v>-52.09861</v>
      </c>
    </row>
    <row r="503" spans="1:21">
      <c r="A503" s="11" t="s">
        <v>3029</v>
      </c>
      <c r="B503" s="11" t="s">
        <v>3030</v>
      </c>
      <c r="C503" s="11">
        <v>55439610000188</v>
      </c>
      <c r="E503" s="12" t="s">
        <v>23</v>
      </c>
      <c r="F503" s="12" t="s">
        <v>3031</v>
      </c>
      <c r="G503" s="11" t="s">
        <v>3032</v>
      </c>
      <c r="H503" s="11">
        <v>900</v>
      </c>
      <c r="I503" s="11" t="s">
        <v>26</v>
      </c>
      <c r="J503" s="11">
        <v>59152600</v>
      </c>
      <c r="K503" s="11" t="s">
        <v>3033</v>
      </c>
      <c r="L503" s="11" t="s">
        <v>214</v>
      </c>
      <c r="M503" s="11" t="s">
        <v>215</v>
      </c>
      <c r="P503" s="11" t="s">
        <v>3034</v>
      </c>
      <c r="Q503" s="13" t="s">
        <v>3035</v>
      </c>
      <c r="R503" s="11" t="s">
        <v>3036</v>
      </c>
      <c r="S503" s="12" t="s">
        <v>33</v>
      </c>
      <c r="T503" s="11" t="str">
        <f t="shared" si="14"/>
        <v>-5.8892189</v>
      </c>
      <c r="U503" s="11" t="str">
        <f t="shared" si="15"/>
        <v>-35.2080751</v>
      </c>
    </row>
    <row r="504" spans="1:21">
      <c r="A504" s="11" t="s">
        <v>3037</v>
      </c>
      <c r="B504" s="11" t="s">
        <v>3038</v>
      </c>
      <c r="C504" s="11">
        <v>29570244000191</v>
      </c>
      <c r="E504" s="12" t="s">
        <v>23</v>
      </c>
      <c r="F504" s="12" t="s">
        <v>642</v>
      </c>
      <c r="G504" s="11" t="s">
        <v>3039</v>
      </c>
      <c r="H504" s="11">
        <v>11</v>
      </c>
      <c r="I504" s="11" t="s">
        <v>3040</v>
      </c>
      <c r="J504" s="11">
        <v>77805209</v>
      </c>
      <c r="K504" s="11" t="s">
        <v>3041</v>
      </c>
      <c r="L504" s="11" t="s">
        <v>645</v>
      </c>
      <c r="M504" s="11" t="s">
        <v>646</v>
      </c>
      <c r="P504" s="11" t="s">
        <v>647</v>
      </c>
      <c r="Q504" s="13" t="s">
        <v>648</v>
      </c>
      <c r="R504" s="11" t="s">
        <v>649</v>
      </c>
      <c r="S504" s="12" t="s">
        <v>33</v>
      </c>
      <c r="T504" s="11" t="str">
        <f t="shared" si="14"/>
        <v>-7.1985820</v>
      </c>
      <c r="U504" s="11" t="str">
        <f t="shared" si="15"/>
        <v>-48.2159572</v>
      </c>
    </row>
    <row r="505" spans="1:21">
      <c r="A505" s="11" t="s">
        <v>3042</v>
      </c>
      <c r="B505" s="11" t="s">
        <v>3043</v>
      </c>
      <c r="C505" s="11">
        <v>55266470000193</v>
      </c>
      <c r="E505" s="12" t="s">
        <v>23</v>
      </c>
      <c r="F505" s="12" t="s">
        <v>302</v>
      </c>
      <c r="G505" s="11" t="s">
        <v>3044</v>
      </c>
      <c r="H505" s="11">
        <v>4360</v>
      </c>
      <c r="I505" s="11" t="s">
        <v>26</v>
      </c>
      <c r="J505" s="11">
        <v>42702400</v>
      </c>
      <c r="K505" s="11" t="s">
        <v>39</v>
      </c>
      <c r="L505" s="11" t="s">
        <v>3045</v>
      </c>
      <c r="M505" s="11" t="s">
        <v>86</v>
      </c>
      <c r="P505" s="11" t="s">
        <v>3046</v>
      </c>
      <c r="Q505" s="13">
        <v>-12.902227399999999</v>
      </c>
      <c r="R505" s="11">
        <v>-38.334598200000002</v>
      </c>
      <c r="S505" s="12" t="s">
        <v>70</v>
      </c>
      <c r="T505" s="11" t="str">
        <f t="shared" si="14"/>
        <v>-12.9022274</v>
      </c>
      <c r="U505" s="11" t="str">
        <f t="shared" si="15"/>
        <v>-38.3345982</v>
      </c>
    </row>
    <row r="506" spans="1:21">
      <c r="P506" s="11"/>
    </row>
    <row r="507" spans="1:21">
      <c r="A507" s="11" t="s">
        <v>3047</v>
      </c>
      <c r="B507" s="11" t="s">
        <v>3048</v>
      </c>
      <c r="C507" s="11">
        <v>46604072000149</v>
      </c>
      <c r="E507" s="12" t="s">
        <v>23</v>
      </c>
      <c r="F507" s="12" t="s">
        <v>3049</v>
      </c>
      <c r="G507" s="11" t="s">
        <v>3050</v>
      </c>
      <c r="H507" s="11">
        <v>181</v>
      </c>
      <c r="I507" s="11" t="s">
        <v>1242</v>
      </c>
      <c r="J507" s="11">
        <v>26525060</v>
      </c>
      <c r="K507" s="11" t="s">
        <v>39</v>
      </c>
      <c r="L507" s="11" t="s">
        <v>3051</v>
      </c>
      <c r="M507" s="11" t="s">
        <v>68</v>
      </c>
      <c r="P507" s="11" t="s">
        <v>3052</v>
      </c>
      <c r="Q507" s="13" t="s">
        <v>3053</v>
      </c>
      <c r="R507" s="11" t="s">
        <v>3054</v>
      </c>
      <c r="S507" s="12" t="s">
        <v>33</v>
      </c>
      <c r="T507" s="11" t="str">
        <f t="shared" si="14"/>
        <v>-22.8061781</v>
      </c>
      <c r="U507" s="11" t="str">
        <f t="shared" si="15"/>
        <v>-43.4182955</v>
      </c>
    </row>
    <row r="508" spans="1:21">
      <c r="A508" s="11" t="s">
        <v>3055</v>
      </c>
      <c r="B508" s="11" t="s">
        <v>3056</v>
      </c>
      <c r="C508" s="11">
        <v>47918944000106</v>
      </c>
      <c r="E508" s="12" t="s">
        <v>23</v>
      </c>
      <c r="F508" s="12" t="s">
        <v>302</v>
      </c>
      <c r="G508" s="11" t="s">
        <v>3057</v>
      </c>
      <c r="H508" s="11">
        <v>276</v>
      </c>
      <c r="I508" s="11" t="s">
        <v>3058</v>
      </c>
      <c r="J508" s="11">
        <v>69058807</v>
      </c>
      <c r="K508" s="11" t="s">
        <v>3059</v>
      </c>
      <c r="L508" s="11" t="s">
        <v>1038</v>
      </c>
      <c r="M508" s="11" t="s">
        <v>1039</v>
      </c>
      <c r="P508" s="11" t="s">
        <v>1040</v>
      </c>
      <c r="Q508" s="13">
        <v>-3.0822196000000002</v>
      </c>
      <c r="R508" s="11">
        <v>-60.024437300000002</v>
      </c>
      <c r="S508" s="12" t="s">
        <v>70</v>
      </c>
      <c r="T508" s="11" t="str">
        <f t="shared" si="14"/>
        <v>-3.0822196</v>
      </c>
      <c r="U508" s="11" t="str">
        <f t="shared" si="15"/>
        <v>-60.0244373</v>
      </c>
    </row>
    <row r="509" spans="1:21">
      <c r="A509" s="11" t="s">
        <v>3060</v>
      </c>
      <c r="B509" s="11" t="s">
        <v>3056</v>
      </c>
      <c r="C509" s="11">
        <v>47918944000106</v>
      </c>
      <c r="E509" s="12" t="s">
        <v>23</v>
      </c>
      <c r="F509" s="12" t="s">
        <v>302</v>
      </c>
      <c r="G509" s="11" t="s">
        <v>3057</v>
      </c>
      <c r="H509" s="11">
        <v>276</v>
      </c>
      <c r="I509" s="11" t="s">
        <v>3058</v>
      </c>
      <c r="J509" s="11">
        <v>69058807</v>
      </c>
      <c r="K509" s="11" t="s">
        <v>3059</v>
      </c>
      <c r="L509" s="11" t="s">
        <v>1038</v>
      </c>
      <c r="M509" s="11" t="s">
        <v>1039</v>
      </c>
      <c r="P509" s="11" t="s">
        <v>1040</v>
      </c>
      <c r="Q509" s="13">
        <v>-3.0822196000000002</v>
      </c>
      <c r="R509" s="11">
        <v>-60.024437300000002</v>
      </c>
      <c r="S509" s="12" t="s">
        <v>70</v>
      </c>
      <c r="T509" s="11" t="str">
        <f t="shared" si="14"/>
        <v>-3.0822196</v>
      </c>
      <c r="U509" s="11" t="str">
        <f t="shared" si="15"/>
        <v>-60.0244373</v>
      </c>
    </row>
    <row r="510" spans="1:21">
      <c r="A510" s="11" t="s">
        <v>3061</v>
      </c>
      <c r="B510" s="11" t="s">
        <v>3056</v>
      </c>
      <c r="C510" s="11">
        <v>47918944000106</v>
      </c>
      <c r="E510" s="12" t="s">
        <v>23</v>
      </c>
      <c r="F510" s="12" t="s">
        <v>302</v>
      </c>
      <c r="G510" s="11" t="s">
        <v>3057</v>
      </c>
      <c r="H510" s="11">
        <v>276</v>
      </c>
      <c r="I510" s="11" t="s">
        <v>3058</v>
      </c>
      <c r="J510" s="11">
        <v>69058807</v>
      </c>
      <c r="K510" s="11" t="s">
        <v>3059</v>
      </c>
      <c r="L510" s="11" t="s">
        <v>1038</v>
      </c>
      <c r="M510" s="11" t="s">
        <v>1039</v>
      </c>
      <c r="P510" s="11" t="s">
        <v>1040</v>
      </c>
      <c r="Q510" s="13">
        <v>-3.0822196000000002</v>
      </c>
      <c r="R510" s="11">
        <v>-60.024437300000002</v>
      </c>
      <c r="S510" s="12" t="s">
        <v>70</v>
      </c>
      <c r="T510" s="11" t="str">
        <f t="shared" si="14"/>
        <v>-3.0822196</v>
      </c>
      <c r="U510" s="11" t="str">
        <f t="shared" si="15"/>
        <v>-60.0244373</v>
      </c>
    </row>
    <row r="511" spans="1:21">
      <c r="A511" s="11" t="s">
        <v>3062</v>
      </c>
      <c r="B511" s="11" t="s">
        <v>3063</v>
      </c>
      <c r="C511" s="11">
        <v>55388197000170</v>
      </c>
      <c r="E511" s="12" t="s">
        <v>23</v>
      </c>
      <c r="F511" s="12" t="s">
        <v>302</v>
      </c>
      <c r="G511" s="11" t="s">
        <v>3064</v>
      </c>
      <c r="H511" s="11">
        <v>148</v>
      </c>
      <c r="I511" s="11" t="s">
        <v>26</v>
      </c>
      <c r="J511" s="11">
        <v>41820908</v>
      </c>
      <c r="K511" s="11" t="s">
        <v>754</v>
      </c>
      <c r="L511" s="11" t="s">
        <v>755</v>
      </c>
      <c r="M511" s="11" t="s">
        <v>86</v>
      </c>
      <c r="P511" s="11" t="s">
        <v>3065</v>
      </c>
      <c r="Q511" s="13" t="s">
        <v>757</v>
      </c>
      <c r="R511" s="11" t="s">
        <v>758</v>
      </c>
      <c r="S511" s="12" t="s">
        <v>33</v>
      </c>
      <c r="T511" s="11" t="str">
        <f t="shared" si="14"/>
        <v>-12.9809961</v>
      </c>
      <c r="U511" s="11" t="str">
        <f t="shared" si="15"/>
        <v>-38.4651783</v>
      </c>
    </row>
    <row r="512" spans="1:21">
      <c r="A512" s="11" t="s">
        <v>3066</v>
      </c>
      <c r="B512" s="11" t="s">
        <v>3056</v>
      </c>
      <c r="C512" s="11">
        <v>47918944000106</v>
      </c>
      <c r="E512" s="12" t="s">
        <v>23</v>
      </c>
      <c r="F512" s="12" t="s">
        <v>302</v>
      </c>
      <c r="G512" s="11" t="s">
        <v>3057</v>
      </c>
      <c r="H512" s="11">
        <v>276</v>
      </c>
      <c r="I512" s="11" t="s">
        <v>3058</v>
      </c>
      <c r="J512" s="11">
        <v>69058807</v>
      </c>
      <c r="K512" s="11" t="s">
        <v>3059</v>
      </c>
      <c r="L512" s="11" t="s">
        <v>1038</v>
      </c>
      <c r="M512" s="11" t="s">
        <v>1039</v>
      </c>
      <c r="P512" s="11" t="s">
        <v>1040</v>
      </c>
      <c r="Q512" s="13">
        <v>-3.0822196000000002</v>
      </c>
      <c r="R512" s="11">
        <v>-60.024437300000002</v>
      </c>
      <c r="S512" s="12" t="s">
        <v>70</v>
      </c>
      <c r="T512" s="11" t="str">
        <f t="shared" si="14"/>
        <v>-3.0822196</v>
      </c>
      <c r="U512" s="11" t="str">
        <f t="shared" si="15"/>
        <v>-60.0244373</v>
      </c>
    </row>
    <row r="513" spans="1:21">
      <c r="A513" s="11" t="s">
        <v>3067</v>
      </c>
      <c r="B513" s="11" t="s">
        <v>3068</v>
      </c>
      <c r="C513" s="11">
        <v>55559598000145</v>
      </c>
      <c r="E513" s="12" t="s">
        <v>23</v>
      </c>
      <c r="F513" s="12" t="s">
        <v>3069</v>
      </c>
      <c r="G513" s="11" t="s">
        <v>3070</v>
      </c>
      <c r="H513" s="11">
        <v>1139</v>
      </c>
      <c r="I513" s="11" t="s">
        <v>26</v>
      </c>
      <c r="J513" s="11">
        <v>17013113</v>
      </c>
      <c r="K513" s="11" t="s">
        <v>3071</v>
      </c>
      <c r="L513" s="11" t="s">
        <v>3072</v>
      </c>
      <c r="M513" s="11" t="s">
        <v>78</v>
      </c>
      <c r="P513" s="11" t="s">
        <v>3073</v>
      </c>
      <c r="Q513" s="13" t="s">
        <v>3074</v>
      </c>
      <c r="R513" s="11" t="s">
        <v>3075</v>
      </c>
      <c r="S513" s="12" t="s">
        <v>33</v>
      </c>
      <c r="T513" s="11" t="str">
        <f t="shared" si="14"/>
        <v>-22.3153259</v>
      </c>
      <c r="U513" s="11" t="str">
        <f t="shared" si="15"/>
        <v>-49.0585272</v>
      </c>
    </row>
    <row r="514" spans="1:21">
      <c r="P514" s="11"/>
    </row>
    <row r="515" spans="1:21">
      <c r="A515" s="11" t="s">
        <v>3076</v>
      </c>
      <c r="B515" s="11" t="s">
        <v>3077</v>
      </c>
      <c r="C515" s="11">
        <v>55607335000164</v>
      </c>
      <c r="E515" s="12" t="s">
        <v>23</v>
      </c>
      <c r="F515" s="12" t="s">
        <v>3078</v>
      </c>
      <c r="G515" s="11" t="s">
        <v>3079</v>
      </c>
      <c r="H515" s="11">
        <v>170</v>
      </c>
      <c r="I515" s="11" t="s">
        <v>3080</v>
      </c>
      <c r="J515" s="11">
        <v>59900000</v>
      </c>
      <c r="K515" s="11" t="s">
        <v>39</v>
      </c>
      <c r="L515" s="11" t="s">
        <v>3081</v>
      </c>
      <c r="M515" s="11" t="s">
        <v>187</v>
      </c>
      <c r="P515" s="11" t="s">
        <v>3082</v>
      </c>
      <c r="Q515" s="13" t="s">
        <v>3083</v>
      </c>
      <c r="R515" s="11" t="s">
        <v>3084</v>
      </c>
      <c r="S515" s="12" t="s">
        <v>33</v>
      </c>
      <c r="T515" s="11" t="str">
        <f t="shared" ref="T515:T551" si="16">SUBSTITUTE(Q:Q,",",".")</f>
        <v>-6.1124964</v>
      </c>
      <c r="U515" s="11" t="str">
        <f t="shared" ref="U515:U551" si="17">SUBSTITUTE(R:R,",",".")</f>
        <v>-38.2062628</v>
      </c>
    </row>
    <row r="516" spans="1:21">
      <c r="A516" s="11" t="s">
        <v>3085</v>
      </c>
      <c r="B516" s="11" t="s">
        <v>3086</v>
      </c>
      <c r="C516" s="11">
        <v>55602725000141</v>
      </c>
      <c r="E516" s="12" t="s">
        <v>23</v>
      </c>
      <c r="F516" s="12" t="s">
        <v>3087</v>
      </c>
      <c r="G516" s="11" t="s">
        <v>3088</v>
      </c>
      <c r="H516" s="11">
        <v>550</v>
      </c>
      <c r="I516" s="11" t="s">
        <v>3089</v>
      </c>
      <c r="J516" s="11">
        <v>7261430</v>
      </c>
      <c r="K516" s="11" t="s">
        <v>3090</v>
      </c>
      <c r="L516" s="11" t="s">
        <v>249</v>
      </c>
      <c r="M516" s="11" t="s">
        <v>78</v>
      </c>
      <c r="P516" s="11" t="s">
        <v>3091</v>
      </c>
      <c r="Q516" s="13">
        <v>-23.462779999999999</v>
      </c>
      <c r="R516" s="11">
        <v>-46.533329999999999</v>
      </c>
      <c r="S516" s="12" t="s">
        <v>70</v>
      </c>
      <c r="T516" s="11" t="str">
        <f t="shared" si="16"/>
        <v>-23.46278</v>
      </c>
      <c r="U516" s="11" t="str">
        <f t="shared" si="17"/>
        <v>-46.53333</v>
      </c>
    </row>
    <row r="517" spans="1:21">
      <c r="P517" s="11"/>
    </row>
    <row r="518" spans="1:21">
      <c r="A518" s="11" t="s">
        <v>3092</v>
      </c>
      <c r="B518" s="11" t="s">
        <v>3093</v>
      </c>
      <c r="C518" s="11">
        <v>55572590000119</v>
      </c>
      <c r="E518" s="12" t="s">
        <v>23</v>
      </c>
      <c r="F518" s="12" t="s">
        <v>913</v>
      </c>
      <c r="G518" s="11" t="s">
        <v>3094</v>
      </c>
      <c r="H518" s="11">
        <v>120</v>
      </c>
      <c r="I518" s="11" t="s">
        <v>3095</v>
      </c>
      <c r="J518" s="11">
        <v>29162739</v>
      </c>
      <c r="K518" s="11" t="s">
        <v>3096</v>
      </c>
      <c r="L518" s="11" t="s">
        <v>3097</v>
      </c>
      <c r="M518" s="11" t="s">
        <v>918</v>
      </c>
      <c r="P518" s="11" t="s">
        <v>3098</v>
      </c>
      <c r="Q518" s="13">
        <v>-20.1970736</v>
      </c>
      <c r="R518" s="11">
        <v>-40.266930799999997</v>
      </c>
      <c r="S518" s="12" t="s">
        <v>70</v>
      </c>
      <c r="T518" s="11" t="str">
        <f t="shared" si="16"/>
        <v>-20.1970736</v>
      </c>
      <c r="U518" s="11" t="str">
        <f t="shared" si="17"/>
        <v>-40.2669308</v>
      </c>
    </row>
    <row r="519" spans="1:21">
      <c r="A519" s="11" t="s">
        <v>3099</v>
      </c>
      <c r="B519" s="11" t="s">
        <v>3100</v>
      </c>
      <c r="C519" s="11">
        <v>55683968000151</v>
      </c>
      <c r="E519" s="12" t="s">
        <v>23</v>
      </c>
      <c r="F519" s="12" t="s">
        <v>3101</v>
      </c>
      <c r="G519" s="11" t="s">
        <v>3102</v>
      </c>
      <c r="H519" s="11">
        <v>558</v>
      </c>
      <c r="I519" s="11" t="s">
        <v>3103</v>
      </c>
      <c r="J519" s="11">
        <v>39445138</v>
      </c>
      <c r="K519" s="11" t="s">
        <v>3104</v>
      </c>
      <c r="L519" s="11" t="s">
        <v>3105</v>
      </c>
      <c r="M519" s="11" t="s">
        <v>404</v>
      </c>
      <c r="P519" s="11" t="s">
        <v>3106</v>
      </c>
      <c r="Q519" s="13">
        <v>-15.8096709</v>
      </c>
      <c r="R519" s="11">
        <v>-43.306641200000001</v>
      </c>
      <c r="S519" s="12" t="s">
        <v>70</v>
      </c>
      <c r="T519" s="11" t="str">
        <f t="shared" si="16"/>
        <v>-15.8096709</v>
      </c>
      <c r="U519" s="11" t="str">
        <f t="shared" si="17"/>
        <v>-43.3066412</v>
      </c>
    </row>
    <row r="520" spans="1:21">
      <c r="A520" s="11" t="s">
        <v>3107</v>
      </c>
      <c r="B520" s="11" t="s">
        <v>3108</v>
      </c>
      <c r="C520" s="11">
        <v>55019370000162</v>
      </c>
      <c r="E520" s="12" t="s">
        <v>23</v>
      </c>
      <c r="F520" s="12" t="s">
        <v>3109</v>
      </c>
      <c r="G520" s="11" t="s">
        <v>3110</v>
      </c>
      <c r="H520" s="11">
        <v>1650</v>
      </c>
      <c r="I520" s="11" t="s">
        <v>3111</v>
      </c>
      <c r="J520" s="11">
        <v>29216010</v>
      </c>
      <c r="K520" s="11" t="s">
        <v>3112</v>
      </c>
      <c r="L520" s="11" t="s">
        <v>3113</v>
      </c>
      <c r="M520" s="11" t="s">
        <v>918</v>
      </c>
      <c r="P520" s="11" t="s">
        <v>3114</v>
      </c>
      <c r="Q520" s="13" t="s">
        <v>3115</v>
      </c>
      <c r="R520" s="11" t="s">
        <v>3116</v>
      </c>
      <c r="S520" s="12" t="s">
        <v>33</v>
      </c>
      <c r="T520" s="11" t="str">
        <f t="shared" si="16"/>
        <v>-20.6538353</v>
      </c>
      <c r="U520" s="11" t="str">
        <f t="shared" si="17"/>
        <v>-40.4742322</v>
      </c>
    </row>
    <row r="521" spans="1:21">
      <c r="A521" s="11" t="s">
        <v>3117</v>
      </c>
      <c r="B521" s="11" t="s">
        <v>3118</v>
      </c>
      <c r="C521" s="11">
        <v>55725354000195</v>
      </c>
      <c r="E521" s="12" t="s">
        <v>23</v>
      </c>
      <c r="F521" s="12" t="s">
        <v>3119</v>
      </c>
      <c r="G521" s="11" t="s">
        <v>3120</v>
      </c>
      <c r="H521" s="11">
        <v>5</v>
      </c>
      <c r="I521" s="11" t="s">
        <v>26</v>
      </c>
      <c r="J521" s="11">
        <v>77960000</v>
      </c>
      <c r="K521" s="11" t="s">
        <v>3121</v>
      </c>
      <c r="L521" s="11" t="s">
        <v>3122</v>
      </c>
      <c r="M521" s="11" t="s">
        <v>646</v>
      </c>
      <c r="P521" s="11" t="s">
        <v>3123</v>
      </c>
      <c r="Q521" s="13" t="s">
        <v>3124</v>
      </c>
      <c r="R521" s="11" t="s">
        <v>3125</v>
      </c>
      <c r="S521" s="12" t="s">
        <v>33</v>
      </c>
      <c r="T521" s="11" t="str">
        <f t="shared" si="16"/>
        <v>-5.4662267</v>
      </c>
      <c r="U521" s="11" t="str">
        <f t="shared" si="17"/>
        <v>-47.8897519</v>
      </c>
    </row>
    <row r="522" spans="1:21">
      <c r="A522" s="11" t="s">
        <v>3126</v>
      </c>
      <c r="B522" s="11" t="s">
        <v>3127</v>
      </c>
      <c r="C522" s="11">
        <v>55713962000180</v>
      </c>
      <c r="E522" s="12" t="s">
        <v>23</v>
      </c>
      <c r="F522" s="12" t="s">
        <v>3128</v>
      </c>
      <c r="G522" s="11" t="s">
        <v>3129</v>
      </c>
      <c r="H522" s="11">
        <v>286</v>
      </c>
      <c r="I522" s="11" t="s">
        <v>26</v>
      </c>
      <c r="J522" s="11">
        <v>78130900</v>
      </c>
      <c r="K522" s="11" t="s">
        <v>3130</v>
      </c>
      <c r="L522" s="11" t="s">
        <v>1560</v>
      </c>
      <c r="M522" s="11" t="s">
        <v>1561</v>
      </c>
      <c r="P522" s="11" t="s">
        <v>3131</v>
      </c>
      <c r="Q522" s="13" t="s">
        <v>3132</v>
      </c>
      <c r="R522" s="11" t="s">
        <v>3133</v>
      </c>
      <c r="S522" s="12" t="s">
        <v>33</v>
      </c>
      <c r="T522" s="11" t="str">
        <f t="shared" si="16"/>
        <v>-15.6777025</v>
      </c>
      <c r="U522" s="11" t="str">
        <f t="shared" si="17"/>
        <v>-56.1295845</v>
      </c>
    </row>
    <row r="523" spans="1:21">
      <c r="A523" s="11" t="s">
        <v>3134</v>
      </c>
      <c r="B523" s="11" t="s">
        <v>3086</v>
      </c>
      <c r="C523" s="11">
        <v>55602725000141</v>
      </c>
      <c r="E523" s="12" t="s">
        <v>23</v>
      </c>
      <c r="F523" s="12" t="s">
        <v>3087</v>
      </c>
      <c r="G523" s="11" t="s">
        <v>3088</v>
      </c>
      <c r="H523" s="11">
        <v>550</v>
      </c>
      <c r="I523" s="11" t="s">
        <v>26</v>
      </c>
      <c r="J523" s="11">
        <v>7261430</v>
      </c>
      <c r="K523" s="11" t="s">
        <v>3090</v>
      </c>
      <c r="L523" s="11" t="s">
        <v>249</v>
      </c>
      <c r="M523" s="11" t="s">
        <v>78</v>
      </c>
      <c r="P523" s="11" t="s">
        <v>3091</v>
      </c>
      <c r="Q523" s="13">
        <v>-23.462779999999999</v>
      </c>
      <c r="R523" s="11">
        <v>-46.533329999999999</v>
      </c>
      <c r="S523" s="12" t="s">
        <v>70</v>
      </c>
      <c r="T523" s="11" t="str">
        <f t="shared" si="16"/>
        <v>-23.46278</v>
      </c>
      <c r="U523" s="11" t="str">
        <f t="shared" si="17"/>
        <v>-46.53333</v>
      </c>
    </row>
    <row r="524" spans="1:21">
      <c r="A524" s="11" t="s">
        <v>3135</v>
      </c>
      <c r="B524" s="11" t="s">
        <v>3136</v>
      </c>
      <c r="C524" s="11">
        <v>43391959000108</v>
      </c>
      <c r="E524" s="12" t="s">
        <v>23</v>
      </c>
      <c r="F524" s="12" t="s">
        <v>3137</v>
      </c>
      <c r="G524" s="11" t="s">
        <v>3138</v>
      </c>
      <c r="H524" s="11">
        <v>30</v>
      </c>
      <c r="I524" s="11" t="s">
        <v>3139</v>
      </c>
      <c r="J524" s="11">
        <v>58187000</v>
      </c>
      <c r="K524" s="11" t="s">
        <v>3140</v>
      </c>
      <c r="L524" s="11" t="s">
        <v>3141</v>
      </c>
      <c r="M524" s="11" t="s">
        <v>187</v>
      </c>
      <c r="P524" s="11" t="s">
        <v>3142</v>
      </c>
      <c r="Q524" s="13" t="s">
        <v>3143</v>
      </c>
      <c r="R524" s="11" t="s">
        <v>3144</v>
      </c>
      <c r="S524" s="12" t="s">
        <v>33</v>
      </c>
      <c r="T524" s="11" t="str">
        <f t="shared" si="16"/>
        <v>-6.5106721</v>
      </c>
      <c r="U524" s="11" t="str">
        <f t="shared" si="17"/>
        <v>-36.3492736</v>
      </c>
    </row>
    <row r="525" spans="1:21">
      <c r="A525" s="11" t="s">
        <v>3145</v>
      </c>
      <c r="B525" s="11" t="s">
        <v>3146</v>
      </c>
      <c r="C525" s="11">
        <v>44445850000179</v>
      </c>
      <c r="E525" s="12" t="s">
        <v>23</v>
      </c>
      <c r="F525" s="12" t="s">
        <v>3147</v>
      </c>
      <c r="G525" s="11" t="s">
        <v>3148</v>
      </c>
      <c r="H525" s="11">
        <v>31</v>
      </c>
      <c r="I525" s="11" t="s">
        <v>26</v>
      </c>
      <c r="J525" s="11">
        <v>60762635</v>
      </c>
      <c r="K525" s="11" t="s">
        <v>3149</v>
      </c>
      <c r="L525" s="11" t="s">
        <v>437</v>
      </c>
      <c r="M525" s="11" t="s">
        <v>354</v>
      </c>
      <c r="P525" s="11" t="s">
        <v>3150</v>
      </c>
      <c r="Q525" s="13">
        <v>-3.8197199999999998</v>
      </c>
      <c r="R525" s="11">
        <v>-38.577500000000001</v>
      </c>
      <c r="S525" s="12" t="s">
        <v>70</v>
      </c>
      <c r="T525" s="11" t="str">
        <f t="shared" si="16"/>
        <v>-3.81972</v>
      </c>
      <c r="U525" s="11" t="str">
        <f t="shared" si="17"/>
        <v>-38.5775</v>
      </c>
    </row>
    <row r="526" spans="1:21">
      <c r="A526" s="11" t="s">
        <v>3151</v>
      </c>
      <c r="B526" s="11" t="s">
        <v>2745</v>
      </c>
      <c r="C526" s="11">
        <v>54520113000228</v>
      </c>
      <c r="E526" s="12" t="s">
        <v>23</v>
      </c>
      <c r="F526" s="12" t="s">
        <v>2746</v>
      </c>
      <c r="G526" s="11" t="s">
        <v>3152</v>
      </c>
      <c r="H526" s="11">
        <v>50</v>
      </c>
      <c r="I526" s="11" t="s">
        <v>66</v>
      </c>
      <c r="J526" s="11">
        <v>5724030</v>
      </c>
      <c r="K526" s="11" t="s">
        <v>3153</v>
      </c>
      <c r="L526" s="11" t="s">
        <v>77</v>
      </c>
      <c r="M526" s="11" t="s">
        <v>78</v>
      </c>
      <c r="P526" s="11" t="s">
        <v>3154</v>
      </c>
      <c r="Q526" s="13">
        <v>-23.641624499999999</v>
      </c>
      <c r="R526" s="11">
        <v>-46.735534800000003</v>
      </c>
      <c r="S526" s="12" t="s">
        <v>70</v>
      </c>
      <c r="T526" s="11" t="str">
        <f t="shared" si="16"/>
        <v>-23.6416245</v>
      </c>
      <c r="U526" s="11" t="str">
        <f t="shared" si="17"/>
        <v>-46.7355348</v>
      </c>
    </row>
    <row r="527" spans="1:21">
      <c r="A527" s="11" t="s">
        <v>3155</v>
      </c>
      <c r="B527" s="11" t="s">
        <v>3156</v>
      </c>
      <c r="C527" s="11">
        <v>55878957000127</v>
      </c>
      <c r="E527" s="12" t="s">
        <v>23</v>
      </c>
      <c r="F527" s="12" t="s">
        <v>3157</v>
      </c>
      <c r="G527" s="11" t="s">
        <v>3158</v>
      </c>
      <c r="H527" s="11">
        <v>231</v>
      </c>
      <c r="I527" s="11" t="s">
        <v>26</v>
      </c>
      <c r="J527" s="11">
        <v>29165155</v>
      </c>
      <c r="K527" s="11" t="s">
        <v>3159</v>
      </c>
      <c r="L527" s="11" t="s">
        <v>3097</v>
      </c>
      <c r="M527" s="11" t="s">
        <v>918</v>
      </c>
      <c r="P527" s="11" t="s">
        <v>3160</v>
      </c>
      <c r="Q527" s="13" t="s">
        <v>3161</v>
      </c>
      <c r="R527" s="11" t="s">
        <v>3162</v>
      </c>
      <c r="S527" s="12" t="s">
        <v>33</v>
      </c>
      <c r="T527" s="11" t="str">
        <f t="shared" si="16"/>
        <v>-20.1973054</v>
      </c>
      <c r="U527" s="11" t="str">
        <f t="shared" si="17"/>
        <v>-40.2555540</v>
      </c>
    </row>
    <row r="528" spans="1:21">
      <c r="A528" s="11" t="s">
        <v>3163</v>
      </c>
      <c r="B528" s="11" t="s">
        <v>2442</v>
      </c>
      <c r="C528" s="11">
        <v>53588410000161</v>
      </c>
      <c r="E528" s="12" t="s">
        <v>23</v>
      </c>
      <c r="F528" s="12" t="s">
        <v>2443</v>
      </c>
      <c r="G528" s="11" t="s">
        <v>2444</v>
      </c>
      <c r="H528" s="11">
        <v>368</v>
      </c>
      <c r="I528" s="11" t="s">
        <v>3164</v>
      </c>
      <c r="J528" s="11">
        <v>39400110</v>
      </c>
      <c r="K528" s="11" t="s">
        <v>39</v>
      </c>
      <c r="L528" s="11" t="s">
        <v>2445</v>
      </c>
      <c r="M528" s="11" t="s">
        <v>404</v>
      </c>
      <c r="P528" s="11" t="s">
        <v>2446</v>
      </c>
      <c r="Q528" s="13" t="s">
        <v>2447</v>
      </c>
      <c r="R528" s="11" t="s">
        <v>2448</v>
      </c>
      <c r="S528" s="12" t="s">
        <v>33</v>
      </c>
      <c r="T528" s="11" t="str">
        <f t="shared" si="16"/>
        <v>-16.7235979</v>
      </c>
      <c r="U528" s="11" t="str">
        <f t="shared" si="17"/>
        <v>-43.8700933</v>
      </c>
    </row>
    <row r="529" spans="1:21">
      <c r="A529" s="11" t="s">
        <v>3165</v>
      </c>
      <c r="B529" s="11" t="s">
        <v>3166</v>
      </c>
      <c r="C529" s="11">
        <v>52472006000327</v>
      </c>
      <c r="E529" s="12" t="s">
        <v>23</v>
      </c>
      <c r="F529" s="12" t="s">
        <v>3167</v>
      </c>
      <c r="G529" s="11" t="s">
        <v>3168</v>
      </c>
      <c r="H529" s="11">
        <v>304</v>
      </c>
      <c r="I529" s="11" t="s">
        <v>26</v>
      </c>
      <c r="J529" s="11">
        <v>63047125</v>
      </c>
      <c r="K529" s="11" t="s">
        <v>3169</v>
      </c>
      <c r="L529" s="11" t="s">
        <v>353</v>
      </c>
      <c r="M529" s="11" t="s">
        <v>354</v>
      </c>
      <c r="P529" s="11" t="s">
        <v>3170</v>
      </c>
      <c r="Q529" s="13">
        <v>-7.2526980999999999</v>
      </c>
      <c r="R529" s="11">
        <v>-39.311393299999999</v>
      </c>
      <c r="S529" s="12" t="s">
        <v>70</v>
      </c>
      <c r="T529" s="11" t="str">
        <f t="shared" si="16"/>
        <v>-7.2526981</v>
      </c>
      <c r="U529" s="11" t="str">
        <f t="shared" si="17"/>
        <v>-39.3113933</v>
      </c>
    </row>
    <row r="530" spans="1:21">
      <c r="A530" s="11" t="s">
        <v>3171</v>
      </c>
      <c r="B530" s="11" t="s">
        <v>3166</v>
      </c>
      <c r="C530" s="11">
        <v>52472006000750</v>
      </c>
      <c r="E530" s="12" t="s">
        <v>23</v>
      </c>
      <c r="F530" s="12" t="s">
        <v>3167</v>
      </c>
      <c r="G530" s="11" t="s">
        <v>3172</v>
      </c>
      <c r="H530" s="11">
        <v>1923</v>
      </c>
      <c r="I530" s="11" t="s">
        <v>2685</v>
      </c>
      <c r="J530" s="11">
        <v>63107147</v>
      </c>
      <c r="K530" s="11" t="s">
        <v>3173</v>
      </c>
      <c r="L530" s="11" t="s">
        <v>3174</v>
      </c>
      <c r="M530" s="11" t="s">
        <v>354</v>
      </c>
      <c r="P530" s="11" t="s">
        <v>3175</v>
      </c>
      <c r="Q530" s="13">
        <v>-7.2341699999999998</v>
      </c>
      <c r="R530" s="11">
        <v>-39.409439999999996</v>
      </c>
      <c r="S530" s="12" t="s">
        <v>70</v>
      </c>
      <c r="T530" s="11" t="str">
        <f t="shared" si="16"/>
        <v>-7.23417</v>
      </c>
      <c r="U530" s="11" t="str">
        <f t="shared" si="17"/>
        <v>-39.40944</v>
      </c>
    </row>
    <row r="531" spans="1:21">
      <c r="A531" s="11" t="s">
        <v>3176</v>
      </c>
      <c r="B531" s="11" t="s">
        <v>3177</v>
      </c>
      <c r="C531" s="11">
        <v>30744925000108</v>
      </c>
      <c r="E531" s="12" t="s">
        <v>23</v>
      </c>
      <c r="F531" s="12" t="s">
        <v>3178</v>
      </c>
      <c r="G531" s="11" t="s">
        <v>3179</v>
      </c>
      <c r="H531" s="11" t="s">
        <v>304</v>
      </c>
      <c r="I531" s="11" t="s">
        <v>2685</v>
      </c>
      <c r="J531" s="11">
        <v>47100000</v>
      </c>
      <c r="K531" s="11" t="s">
        <v>39</v>
      </c>
      <c r="L531" s="11" t="s">
        <v>3180</v>
      </c>
      <c r="M531" s="11" t="s">
        <v>86</v>
      </c>
      <c r="P531" s="11" t="s">
        <v>3181</v>
      </c>
      <c r="Q531" s="13">
        <v>-9.40611</v>
      </c>
      <c r="R531" s="11">
        <v>-38.21472</v>
      </c>
      <c r="S531" s="12" t="s">
        <v>70</v>
      </c>
      <c r="T531" s="11" t="str">
        <f t="shared" si="16"/>
        <v>-9.40611</v>
      </c>
      <c r="U531" s="11" t="str">
        <f t="shared" si="17"/>
        <v>-38.21472</v>
      </c>
    </row>
    <row r="532" spans="1:21">
      <c r="A532" s="11" t="s">
        <v>3182</v>
      </c>
      <c r="B532" s="11" t="s">
        <v>3183</v>
      </c>
      <c r="C532" s="11">
        <v>56071148000171</v>
      </c>
      <c r="E532" s="12" t="s">
        <v>23</v>
      </c>
      <c r="F532" s="12" t="s">
        <v>3184</v>
      </c>
      <c r="G532" s="11" t="s">
        <v>3185</v>
      </c>
      <c r="H532" s="11">
        <v>351</v>
      </c>
      <c r="I532" s="11" t="s">
        <v>26</v>
      </c>
      <c r="J532" s="11">
        <v>12505300</v>
      </c>
      <c r="K532" s="11" t="s">
        <v>3186</v>
      </c>
      <c r="L532" s="11" t="s">
        <v>3187</v>
      </c>
      <c r="M532" s="11" t="s">
        <v>78</v>
      </c>
      <c r="P532" s="11" t="s">
        <v>3188</v>
      </c>
      <c r="Q532" s="13" t="s">
        <v>3189</v>
      </c>
      <c r="R532" s="11" t="s">
        <v>3190</v>
      </c>
      <c r="S532" s="12" t="s">
        <v>33</v>
      </c>
      <c r="T532" s="11" t="str">
        <f t="shared" si="16"/>
        <v>-22.8121695</v>
      </c>
      <c r="U532" s="11" t="str">
        <f t="shared" si="17"/>
        <v>-45.2014791</v>
      </c>
    </row>
    <row r="533" spans="1:21">
      <c r="A533" s="11" t="s">
        <v>3191</v>
      </c>
      <c r="B533" s="11" t="s">
        <v>3192</v>
      </c>
      <c r="C533" s="11">
        <v>55913022000134</v>
      </c>
      <c r="E533" s="12" t="s">
        <v>23</v>
      </c>
      <c r="F533" s="12" t="s">
        <v>3193</v>
      </c>
      <c r="G533" s="11" t="s">
        <v>3194</v>
      </c>
      <c r="H533" s="11">
        <v>5000</v>
      </c>
      <c r="I533" s="11" t="s">
        <v>1010</v>
      </c>
      <c r="J533" s="11">
        <v>59154350</v>
      </c>
      <c r="K533" s="11" t="s">
        <v>3195</v>
      </c>
      <c r="L533" s="11" t="s">
        <v>214</v>
      </c>
      <c r="M533" s="11" t="s">
        <v>215</v>
      </c>
      <c r="P533" s="11" t="s">
        <v>3196</v>
      </c>
      <c r="Q533" s="13">
        <v>-5.9111868999999997</v>
      </c>
      <c r="R533" s="11">
        <v>-35.206606299999997</v>
      </c>
      <c r="S533" s="12" t="s">
        <v>70</v>
      </c>
      <c r="T533" s="11" t="str">
        <f t="shared" si="16"/>
        <v>-5.9111869</v>
      </c>
      <c r="U533" s="11" t="str">
        <f t="shared" si="17"/>
        <v>-35.2066063</v>
      </c>
    </row>
    <row r="534" spans="1:21">
      <c r="P534" s="11"/>
    </row>
    <row r="535" spans="1:21">
      <c r="A535" s="11" t="s">
        <v>3197</v>
      </c>
      <c r="B535" s="11" t="s">
        <v>3198</v>
      </c>
      <c r="C535" s="11">
        <v>56039071000152</v>
      </c>
      <c r="E535" s="12" t="s">
        <v>23</v>
      </c>
      <c r="F535" s="12" t="s">
        <v>785</v>
      </c>
      <c r="G535" s="11" t="s">
        <v>3199</v>
      </c>
      <c r="H535" s="11">
        <v>116</v>
      </c>
      <c r="I535" s="11" t="s">
        <v>3200</v>
      </c>
      <c r="J535" s="11">
        <v>46500000</v>
      </c>
      <c r="K535" s="11" t="s">
        <v>39</v>
      </c>
      <c r="L535" s="11" t="s">
        <v>3201</v>
      </c>
      <c r="M535" s="11" t="s">
        <v>86</v>
      </c>
      <c r="P535" s="11" t="s">
        <v>3202</v>
      </c>
      <c r="Q535" s="13" t="s">
        <v>3203</v>
      </c>
      <c r="R535" s="11" t="s">
        <v>3204</v>
      </c>
      <c r="S535" s="12" t="s">
        <v>33</v>
      </c>
      <c r="T535" s="11" t="str">
        <f t="shared" si="16"/>
        <v>-13.0174846</v>
      </c>
      <c r="U535" s="11" t="str">
        <f t="shared" si="17"/>
        <v>-42.6882221</v>
      </c>
    </row>
    <row r="536" spans="1:21">
      <c r="A536" s="11" t="s">
        <v>3205</v>
      </c>
      <c r="B536" s="11" t="s">
        <v>3206</v>
      </c>
      <c r="C536" s="11">
        <v>55901013000123</v>
      </c>
      <c r="E536" s="12" t="s">
        <v>23</v>
      </c>
      <c r="F536" s="12" t="s">
        <v>3207</v>
      </c>
      <c r="G536" s="11" t="s">
        <v>3208</v>
      </c>
      <c r="H536" s="11">
        <v>650</v>
      </c>
      <c r="I536" s="11" t="s">
        <v>3209</v>
      </c>
      <c r="J536" s="11">
        <v>39900000</v>
      </c>
      <c r="K536" s="11" t="s">
        <v>39</v>
      </c>
      <c r="L536" s="11" t="s">
        <v>3210</v>
      </c>
      <c r="M536" s="11" t="s">
        <v>404</v>
      </c>
      <c r="P536" s="11" t="s">
        <v>3211</v>
      </c>
      <c r="Q536" s="13" t="s">
        <v>3212</v>
      </c>
      <c r="R536" s="11" t="s">
        <v>3213</v>
      </c>
      <c r="S536" s="12" t="s">
        <v>33</v>
      </c>
      <c r="T536" s="11" t="str">
        <f t="shared" si="16"/>
        <v>-16.1753775</v>
      </c>
      <c r="U536" s="11" t="str">
        <f t="shared" si="17"/>
        <v>-40.6916675</v>
      </c>
    </row>
    <row r="537" spans="1:21">
      <c r="A537" s="11" t="s">
        <v>3214</v>
      </c>
      <c r="B537" s="11" t="s">
        <v>3215</v>
      </c>
      <c r="C537" s="11">
        <v>44854086000195</v>
      </c>
      <c r="E537" s="12" t="s">
        <v>23</v>
      </c>
      <c r="F537" s="12" t="s">
        <v>3216</v>
      </c>
      <c r="G537" s="11" t="s">
        <v>3217</v>
      </c>
      <c r="H537" s="11">
        <v>4050</v>
      </c>
      <c r="I537" s="11" t="s">
        <v>26</v>
      </c>
      <c r="J537" s="11">
        <v>45655650</v>
      </c>
      <c r="K537" s="11" t="s">
        <v>3218</v>
      </c>
      <c r="L537" s="11" t="s">
        <v>3219</v>
      </c>
      <c r="M537" s="11" t="s">
        <v>86</v>
      </c>
      <c r="P537" s="11" t="s">
        <v>3220</v>
      </c>
      <c r="Q537" s="13">
        <v>-14.79364</v>
      </c>
      <c r="R537" s="11">
        <v>-39.039490000000001</v>
      </c>
      <c r="S537" s="12" t="s">
        <v>70</v>
      </c>
      <c r="T537" s="11" t="str">
        <f t="shared" si="16"/>
        <v>-14.79364</v>
      </c>
      <c r="U537" s="11" t="str">
        <f t="shared" si="17"/>
        <v>-39.03949</v>
      </c>
    </row>
    <row r="538" spans="1:21">
      <c r="P538" s="11"/>
    </row>
    <row r="539" spans="1:21">
      <c r="A539" s="11" t="s">
        <v>3221</v>
      </c>
      <c r="B539" s="11" t="s">
        <v>1112</v>
      </c>
      <c r="C539" s="11">
        <v>48064822000405</v>
      </c>
      <c r="E539" s="12" t="s">
        <v>23</v>
      </c>
      <c r="F539" s="12" t="s">
        <v>2781</v>
      </c>
      <c r="G539" s="11" t="s">
        <v>3222</v>
      </c>
      <c r="H539" s="11">
        <v>5332</v>
      </c>
      <c r="I539" s="11" t="s">
        <v>3223</v>
      </c>
      <c r="J539" s="11">
        <v>20771004</v>
      </c>
      <c r="K539" s="11" t="s">
        <v>3224</v>
      </c>
      <c r="L539" s="11" t="s">
        <v>313</v>
      </c>
      <c r="M539" s="11" t="s">
        <v>68</v>
      </c>
      <c r="P539" s="11" t="s">
        <v>3225</v>
      </c>
      <c r="Q539" s="13" t="s">
        <v>3226</v>
      </c>
      <c r="R539" s="11" t="s">
        <v>3227</v>
      </c>
      <c r="S539" s="12" t="s">
        <v>33</v>
      </c>
      <c r="T539" s="11" t="str">
        <f t="shared" si="16"/>
        <v>-22.8872815</v>
      </c>
      <c r="U539" s="11" t="str">
        <f t="shared" si="17"/>
        <v>-43.2861578</v>
      </c>
    </row>
    <row r="540" spans="1:21">
      <c r="A540" s="11" t="s">
        <v>3228</v>
      </c>
      <c r="B540" s="11" t="s">
        <v>3229</v>
      </c>
      <c r="C540" s="11">
        <v>54429441000132</v>
      </c>
      <c r="E540" s="12" t="s">
        <v>23</v>
      </c>
      <c r="F540" s="12" t="s">
        <v>3230</v>
      </c>
      <c r="G540" s="11" t="s">
        <v>3231</v>
      </c>
      <c r="H540" s="11">
        <v>554</v>
      </c>
      <c r="I540" s="11" t="s">
        <v>26</v>
      </c>
      <c r="J540" s="11">
        <v>74063300</v>
      </c>
      <c r="K540" s="11" t="s">
        <v>3232</v>
      </c>
      <c r="L540" s="11" t="s">
        <v>3233</v>
      </c>
      <c r="M540" s="11" t="s">
        <v>723</v>
      </c>
      <c r="P540" s="11" t="s">
        <v>724</v>
      </c>
      <c r="Q540" s="13">
        <v>-16.655347599999999</v>
      </c>
      <c r="R540" s="11">
        <v>-49.258869300000001</v>
      </c>
      <c r="S540" s="12" t="s">
        <v>70</v>
      </c>
      <c r="T540" s="11" t="str">
        <f t="shared" si="16"/>
        <v>-16.6553476</v>
      </c>
      <c r="U540" s="11" t="str">
        <f t="shared" si="17"/>
        <v>-49.2588693</v>
      </c>
    </row>
    <row r="541" spans="1:21">
      <c r="A541" s="11" t="s">
        <v>3234</v>
      </c>
      <c r="B541" s="11" t="s">
        <v>1368</v>
      </c>
      <c r="C541" s="11">
        <v>34854383001825</v>
      </c>
      <c r="E541" s="12" t="s">
        <v>23</v>
      </c>
      <c r="F541" s="12" t="s">
        <v>3235</v>
      </c>
      <c r="G541" s="11" t="s">
        <v>3236</v>
      </c>
      <c r="H541" s="11">
        <v>1496</v>
      </c>
      <c r="I541" s="11" t="s">
        <v>26</v>
      </c>
      <c r="J541" s="11">
        <v>6020010</v>
      </c>
      <c r="K541" s="11" t="s">
        <v>1027</v>
      </c>
      <c r="L541" s="11" t="s">
        <v>1028</v>
      </c>
      <c r="M541" s="11" t="s">
        <v>78</v>
      </c>
      <c r="P541" s="11" t="s">
        <v>1029</v>
      </c>
      <c r="Q541" s="13">
        <v>-23.532499999999999</v>
      </c>
      <c r="R541" s="11">
        <v>-46.791670000000003</v>
      </c>
      <c r="S541" s="12" t="s">
        <v>70</v>
      </c>
      <c r="T541" s="11" t="str">
        <f t="shared" si="16"/>
        <v>-23.5325</v>
      </c>
      <c r="U541" s="11" t="str">
        <f t="shared" si="17"/>
        <v>-46.79167</v>
      </c>
    </row>
    <row r="542" spans="1:21">
      <c r="A542" s="11" t="s">
        <v>3237</v>
      </c>
      <c r="B542" s="11" t="s">
        <v>3238</v>
      </c>
      <c r="C542" s="11">
        <v>56260918000124</v>
      </c>
      <c r="E542" s="12" t="s">
        <v>23</v>
      </c>
      <c r="F542" s="12" t="s">
        <v>3239</v>
      </c>
      <c r="G542" s="11" t="s">
        <v>629</v>
      </c>
      <c r="H542" s="11">
        <v>400</v>
      </c>
      <c r="I542" s="11" t="s">
        <v>1501</v>
      </c>
      <c r="J542" s="11">
        <v>49035500</v>
      </c>
      <c r="K542" s="11" t="s">
        <v>630</v>
      </c>
      <c r="L542" s="11" t="s">
        <v>48</v>
      </c>
      <c r="M542" s="11" t="s">
        <v>49</v>
      </c>
      <c r="P542" s="11" t="s">
        <v>631</v>
      </c>
      <c r="Q542" s="13">
        <v>-10.911110000000001</v>
      </c>
      <c r="R542" s="11">
        <v>-37.071669999999997</v>
      </c>
      <c r="S542" s="12" t="s">
        <v>70</v>
      </c>
      <c r="T542" s="11" t="str">
        <f t="shared" si="16"/>
        <v>-10.91111</v>
      </c>
      <c r="U542" s="11" t="str">
        <f t="shared" si="17"/>
        <v>-37.07167</v>
      </c>
    </row>
    <row r="543" spans="1:21">
      <c r="A543" s="11" t="s">
        <v>3240</v>
      </c>
      <c r="B543" s="11" t="s">
        <v>3241</v>
      </c>
      <c r="C543" s="11">
        <v>56184647000175</v>
      </c>
      <c r="E543" s="12" t="s">
        <v>23</v>
      </c>
      <c r="F543" s="12" t="s">
        <v>913</v>
      </c>
      <c r="G543" s="11" t="s">
        <v>3242</v>
      </c>
      <c r="H543" s="11">
        <v>3288</v>
      </c>
      <c r="I543" s="11" t="s">
        <v>1010</v>
      </c>
      <c r="J543" s="11">
        <v>76820408</v>
      </c>
      <c r="K543" s="11" t="s">
        <v>3243</v>
      </c>
      <c r="L543" s="11" t="s">
        <v>3244</v>
      </c>
      <c r="M543" s="11" t="s">
        <v>2618</v>
      </c>
      <c r="P543" s="11" t="s">
        <v>3245</v>
      </c>
      <c r="Q543" s="13" t="s">
        <v>3246</v>
      </c>
      <c r="R543" s="11" t="s">
        <v>3247</v>
      </c>
      <c r="S543" s="12" t="s">
        <v>33</v>
      </c>
      <c r="T543" s="11" t="str">
        <f t="shared" si="16"/>
        <v>-8.7595691</v>
      </c>
      <c r="U543" s="11" t="str">
        <f t="shared" si="17"/>
        <v>-63.8745642</v>
      </c>
    </row>
    <row r="544" spans="1:21">
      <c r="P544" s="11"/>
    </row>
    <row r="545" spans="1:21">
      <c r="A545" s="11" t="s">
        <v>3248</v>
      </c>
      <c r="B545" s="11" t="s">
        <v>3249</v>
      </c>
      <c r="C545" s="11">
        <v>55313617000159</v>
      </c>
      <c r="E545" s="12" t="s">
        <v>23</v>
      </c>
      <c r="F545" s="12" t="s">
        <v>3250</v>
      </c>
      <c r="G545" s="11" t="s">
        <v>3251</v>
      </c>
      <c r="H545" s="11">
        <v>128</v>
      </c>
      <c r="I545" s="11" t="s">
        <v>26</v>
      </c>
      <c r="J545" s="11">
        <v>45208267</v>
      </c>
      <c r="K545" s="11" t="s">
        <v>3252</v>
      </c>
      <c r="L545" s="11" t="s">
        <v>3253</v>
      </c>
      <c r="M545" s="11" t="s">
        <v>86</v>
      </c>
      <c r="P545" s="11" t="s">
        <v>3254</v>
      </c>
      <c r="Q545" s="13" t="s">
        <v>3255</v>
      </c>
      <c r="R545" s="11" t="s">
        <v>3256</v>
      </c>
      <c r="S545" s="12" t="s">
        <v>33</v>
      </c>
      <c r="T545" s="11" t="str">
        <f t="shared" si="16"/>
        <v>-13.8655247</v>
      </c>
      <c r="U545" s="11" t="str">
        <f t="shared" si="17"/>
        <v>-40.0610707</v>
      </c>
    </row>
    <row r="546" spans="1:21">
      <c r="P546" s="11"/>
    </row>
    <row r="547" spans="1:21">
      <c r="A547" s="11" t="s">
        <v>3257</v>
      </c>
      <c r="B547" s="11" t="s">
        <v>2762</v>
      </c>
      <c r="C547" s="11">
        <v>54683267000150</v>
      </c>
      <c r="E547" s="12" t="s">
        <v>23</v>
      </c>
      <c r="F547" s="12" t="s">
        <v>3258</v>
      </c>
      <c r="G547" s="11" t="s">
        <v>3259</v>
      </c>
      <c r="H547" s="11">
        <v>60</v>
      </c>
      <c r="I547" s="11" t="s">
        <v>26</v>
      </c>
      <c r="J547" s="11">
        <v>47802512</v>
      </c>
      <c r="K547" s="11" t="s">
        <v>2766</v>
      </c>
      <c r="L547" s="11" t="s">
        <v>2767</v>
      </c>
      <c r="M547" s="11" t="s">
        <v>86</v>
      </c>
      <c r="P547" s="11" t="s">
        <v>2768</v>
      </c>
      <c r="Q547" s="13" t="s">
        <v>2769</v>
      </c>
      <c r="R547" s="11" t="s">
        <v>2770</v>
      </c>
      <c r="S547" s="12" t="s">
        <v>33</v>
      </c>
      <c r="T547" s="11" t="str">
        <f t="shared" si="16"/>
        <v>-12.1448733</v>
      </c>
      <c r="U547" s="11" t="str">
        <f t="shared" si="17"/>
        <v>-44.9712375</v>
      </c>
    </row>
    <row r="548" spans="1:21">
      <c r="A548" s="11" t="s">
        <v>3260</v>
      </c>
      <c r="B548" s="11" t="s">
        <v>385</v>
      </c>
      <c r="C548" s="11">
        <v>39722667000133</v>
      </c>
      <c r="E548" s="12" t="s">
        <v>23</v>
      </c>
      <c r="F548" s="12" t="s">
        <v>302</v>
      </c>
      <c r="G548" s="11" t="s">
        <v>212</v>
      </c>
      <c r="H548" s="11">
        <v>254</v>
      </c>
      <c r="I548" s="11" t="s">
        <v>2685</v>
      </c>
      <c r="J548" s="11">
        <v>59148340</v>
      </c>
      <c r="K548" s="11" t="s">
        <v>213</v>
      </c>
      <c r="L548" s="11" t="s">
        <v>214</v>
      </c>
      <c r="M548" s="11" t="s">
        <v>215</v>
      </c>
      <c r="P548" s="11" t="s">
        <v>216</v>
      </c>
      <c r="Q548" s="13" t="s">
        <v>217</v>
      </c>
      <c r="R548" s="11" t="s">
        <v>218</v>
      </c>
      <c r="S548" s="12" t="s">
        <v>33</v>
      </c>
      <c r="T548" s="11" t="str">
        <f t="shared" si="16"/>
        <v>-5.8927682</v>
      </c>
      <c r="U548" s="11" t="str">
        <f t="shared" si="17"/>
        <v>-35.2339711</v>
      </c>
    </row>
    <row r="549" spans="1:21">
      <c r="A549" s="11" t="s">
        <v>3261</v>
      </c>
      <c r="B549" s="11" t="s">
        <v>3262</v>
      </c>
      <c r="C549" s="11">
        <v>52501212000156</v>
      </c>
      <c r="E549" s="12" t="s">
        <v>23</v>
      </c>
      <c r="F549" s="12" t="s">
        <v>302</v>
      </c>
      <c r="G549" s="11" t="s">
        <v>1264</v>
      </c>
      <c r="H549" s="11">
        <v>987</v>
      </c>
      <c r="I549" s="11" t="s">
        <v>26</v>
      </c>
      <c r="J549" s="11">
        <v>65061021</v>
      </c>
      <c r="K549" s="11" t="s">
        <v>3263</v>
      </c>
      <c r="L549" s="11" t="s">
        <v>511</v>
      </c>
      <c r="M549" s="11" t="s">
        <v>281</v>
      </c>
      <c r="P549" s="11" t="s">
        <v>3264</v>
      </c>
      <c r="Q549" s="13">
        <v>-2.5295051000000002</v>
      </c>
      <c r="R549" s="11">
        <v>-44.255963999999999</v>
      </c>
      <c r="S549" s="12" t="s">
        <v>70</v>
      </c>
      <c r="T549" s="11" t="str">
        <f t="shared" si="16"/>
        <v>-2.5295051</v>
      </c>
      <c r="U549" s="11" t="str">
        <f t="shared" si="17"/>
        <v>-44.255964</v>
      </c>
    </row>
    <row r="550" spans="1:21">
      <c r="A550" s="11" t="s">
        <v>3265</v>
      </c>
      <c r="B550" s="11" t="s">
        <v>318</v>
      </c>
      <c r="C550" s="11">
        <v>34512374000299</v>
      </c>
      <c r="E550" s="12" t="s">
        <v>23</v>
      </c>
      <c r="F550" s="12" t="s">
        <v>319</v>
      </c>
      <c r="G550" s="11" t="s">
        <v>3266</v>
      </c>
      <c r="H550" s="11">
        <v>47</v>
      </c>
      <c r="I550" s="11" t="s">
        <v>2408</v>
      </c>
      <c r="J550" s="11">
        <v>45000390</v>
      </c>
      <c r="K550" s="11" t="s">
        <v>39</v>
      </c>
      <c r="L550" s="11" t="s">
        <v>323</v>
      </c>
      <c r="M550" s="11" t="s">
        <v>86</v>
      </c>
      <c r="P550" s="11" t="s">
        <v>3267</v>
      </c>
      <c r="Q550" s="13" t="s">
        <v>3268</v>
      </c>
      <c r="R550" s="11" t="s">
        <v>3269</v>
      </c>
      <c r="S550" s="12" t="s">
        <v>33</v>
      </c>
      <c r="T550" s="11" t="str">
        <f t="shared" si="16"/>
        <v>-14.8518101</v>
      </c>
      <c r="U550" s="11" t="str">
        <f t="shared" si="17"/>
        <v>-40.8383495</v>
      </c>
    </row>
    <row r="551" spans="1:21">
      <c r="A551" s="11" t="s">
        <v>3270</v>
      </c>
      <c r="B551" s="11" t="s">
        <v>1915</v>
      </c>
      <c r="C551" s="11">
        <v>52168909000238</v>
      </c>
      <c r="E551" s="12" t="s">
        <v>23</v>
      </c>
      <c r="F551" s="12" t="s">
        <v>1916</v>
      </c>
      <c r="G551" s="11" t="s">
        <v>3271</v>
      </c>
      <c r="H551" s="11">
        <v>388</v>
      </c>
      <c r="I551" s="11" t="s">
        <v>3272</v>
      </c>
      <c r="J551" s="11">
        <v>25900094</v>
      </c>
      <c r="K551" s="11" t="s">
        <v>39</v>
      </c>
      <c r="L551" s="11" t="s">
        <v>1920</v>
      </c>
      <c r="M551" s="11" t="s">
        <v>68</v>
      </c>
      <c r="P551" s="11" t="s">
        <v>3273</v>
      </c>
      <c r="Q551" s="13" t="s">
        <v>3274</v>
      </c>
      <c r="R551" s="11" t="s">
        <v>3275</v>
      </c>
      <c r="S551" s="12" t="s">
        <v>33</v>
      </c>
      <c r="T551" s="11" t="str">
        <f t="shared" si="16"/>
        <v>-22.6559628</v>
      </c>
      <c r="U551" s="11" t="str">
        <f t="shared" si="17"/>
        <v>-43.0391951</v>
      </c>
    </row>
    <row r="552" spans="1:21" s="37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6"/>
      <c r="R552" s="35"/>
      <c r="S552" s="35"/>
      <c r="T552" s="35"/>
      <c r="U552" s="35"/>
    </row>
    <row r="553" spans="1:21">
      <c r="A553" s="11" t="s">
        <v>3276</v>
      </c>
      <c r="B553" s="11" t="s">
        <v>3277</v>
      </c>
      <c r="C553" s="11">
        <v>44135925000115</v>
      </c>
      <c r="E553" s="12" t="s">
        <v>23</v>
      </c>
      <c r="F553" s="12" t="s">
        <v>3278</v>
      </c>
      <c r="G553" s="11" t="s">
        <v>3279</v>
      </c>
      <c r="H553" s="11">
        <v>384</v>
      </c>
      <c r="I553" s="11" t="s">
        <v>286</v>
      </c>
      <c r="J553" s="11">
        <v>24220301</v>
      </c>
      <c r="K553" s="11" t="s">
        <v>3280</v>
      </c>
      <c r="L553" s="11" t="s">
        <v>1116</v>
      </c>
      <c r="M553" s="11" t="s">
        <v>68</v>
      </c>
      <c r="P553" s="11" t="s">
        <v>3281</v>
      </c>
      <c r="Q553" s="13" t="s">
        <v>3282</v>
      </c>
      <c r="R553" s="11" t="s">
        <v>3283</v>
      </c>
      <c r="S553" s="12" t="s">
        <v>33</v>
      </c>
      <c r="T553" s="11" t="str">
        <f t="shared" ref="T553:T595" si="18">SUBSTITUTE(Q:Q,",",".")</f>
        <v>-22.9044950</v>
      </c>
      <c r="U553" s="11" t="str">
        <f t="shared" ref="U553:U595" si="19">SUBSTITUTE(R:R,",",".")</f>
        <v>-43.1036224</v>
      </c>
    </row>
    <row r="554" spans="1:21">
      <c r="A554" s="11" t="s">
        <v>3284</v>
      </c>
      <c r="B554" s="11" t="s">
        <v>3285</v>
      </c>
      <c r="C554" s="11">
        <v>56384564000120</v>
      </c>
      <c r="E554" s="12" t="s">
        <v>23</v>
      </c>
      <c r="F554" s="12" t="s">
        <v>3286</v>
      </c>
      <c r="G554" s="11" t="s">
        <v>3287</v>
      </c>
      <c r="H554" s="11">
        <v>336</v>
      </c>
      <c r="I554" s="11" t="s">
        <v>3288</v>
      </c>
      <c r="J554" s="11">
        <v>11673190</v>
      </c>
      <c r="K554" s="11" t="s">
        <v>3289</v>
      </c>
      <c r="L554" s="11" t="s">
        <v>3290</v>
      </c>
      <c r="M554" s="11" t="s">
        <v>78</v>
      </c>
      <c r="P554" s="11" t="s">
        <v>3291</v>
      </c>
      <c r="Q554" s="13">
        <v>-23.620280000000001</v>
      </c>
      <c r="R554" s="11">
        <v>-45.413060000000002</v>
      </c>
      <c r="S554" s="12" t="s">
        <v>70</v>
      </c>
      <c r="T554" s="11" t="str">
        <f t="shared" si="18"/>
        <v>-23.62028</v>
      </c>
      <c r="U554" s="11" t="str">
        <f t="shared" si="19"/>
        <v>-45.41306</v>
      </c>
    </row>
    <row r="555" spans="1:21">
      <c r="A555" s="11" t="s">
        <v>3292</v>
      </c>
      <c r="B555" s="11" t="s">
        <v>3293</v>
      </c>
      <c r="C555" s="11">
        <v>56343124000124</v>
      </c>
      <c r="E555" s="12" t="s">
        <v>23</v>
      </c>
      <c r="F555" s="12" t="s">
        <v>3294</v>
      </c>
      <c r="G555" s="11" t="s">
        <v>3295</v>
      </c>
      <c r="H555" s="11">
        <v>110</v>
      </c>
      <c r="I555" s="11" t="s">
        <v>26</v>
      </c>
      <c r="J555" s="11">
        <v>60822520</v>
      </c>
      <c r="K555" s="11" t="s">
        <v>3296</v>
      </c>
      <c r="L555" s="11" t="s">
        <v>437</v>
      </c>
      <c r="M555" s="11" t="s">
        <v>354</v>
      </c>
      <c r="P555" s="11" t="s">
        <v>3297</v>
      </c>
      <c r="Q555" s="13" t="s">
        <v>3298</v>
      </c>
      <c r="R555" s="11" t="s">
        <v>3299</v>
      </c>
      <c r="S555" s="12" t="s">
        <v>33</v>
      </c>
      <c r="T555" s="11" t="str">
        <f t="shared" si="18"/>
        <v>-3.7929409</v>
      </c>
      <c r="U555" s="11" t="str">
        <f t="shared" si="19"/>
        <v>-38.4985940</v>
      </c>
    </row>
    <row r="556" spans="1:21">
      <c r="A556" s="11" t="s">
        <v>3300</v>
      </c>
      <c r="B556" s="11" t="s">
        <v>3301</v>
      </c>
      <c r="C556" s="11">
        <v>56415644000103</v>
      </c>
      <c r="E556" s="12" t="s">
        <v>23</v>
      </c>
      <c r="F556" s="12" t="s">
        <v>913</v>
      </c>
      <c r="G556" s="11" t="s">
        <v>3302</v>
      </c>
      <c r="H556" s="11">
        <v>2870</v>
      </c>
      <c r="I556" s="11" t="s">
        <v>3303</v>
      </c>
      <c r="J556" s="11">
        <v>29075010</v>
      </c>
      <c r="K556" s="11" t="s">
        <v>3304</v>
      </c>
      <c r="L556" s="11" t="s">
        <v>917</v>
      </c>
      <c r="M556" s="11" t="s">
        <v>918</v>
      </c>
      <c r="P556" s="11" t="s">
        <v>3305</v>
      </c>
      <c r="Q556" s="13" t="s">
        <v>3306</v>
      </c>
      <c r="R556" s="11" t="s">
        <v>3307</v>
      </c>
      <c r="S556" s="12" t="s">
        <v>33</v>
      </c>
      <c r="T556" s="11" t="str">
        <f t="shared" si="18"/>
        <v>-20.2657990</v>
      </c>
      <c r="U556" s="11" t="str">
        <f t="shared" si="19"/>
        <v>-40.2974234</v>
      </c>
    </row>
    <row r="557" spans="1:21">
      <c r="A557" s="11" t="s">
        <v>3308</v>
      </c>
      <c r="B557" s="11" t="s">
        <v>3309</v>
      </c>
      <c r="C557" s="11">
        <v>56196739000175</v>
      </c>
      <c r="E557" s="12" t="s">
        <v>23</v>
      </c>
      <c r="F557" s="12" t="s">
        <v>3310</v>
      </c>
      <c r="G557" s="11" t="s">
        <v>3311</v>
      </c>
      <c r="H557" s="11">
        <v>359</v>
      </c>
      <c r="I557" s="11" t="s">
        <v>26</v>
      </c>
      <c r="J557" s="11">
        <v>65725000</v>
      </c>
      <c r="K557" s="11" t="s">
        <v>39</v>
      </c>
      <c r="L557" s="11" t="s">
        <v>3312</v>
      </c>
      <c r="M557" s="11" t="s">
        <v>281</v>
      </c>
      <c r="P557" s="11" t="s">
        <v>3313</v>
      </c>
      <c r="Q557" s="13" t="s">
        <v>3314</v>
      </c>
      <c r="R557" s="11" t="s">
        <v>3315</v>
      </c>
      <c r="S557" s="12" t="s">
        <v>33</v>
      </c>
      <c r="T557" s="11" t="str">
        <f t="shared" si="18"/>
        <v>-4.5687989</v>
      </c>
      <c r="U557" s="11" t="str">
        <f t="shared" si="19"/>
        <v>-44.6003029</v>
      </c>
    </row>
    <row r="558" spans="1:21">
      <c r="A558" s="11" t="s">
        <v>3316</v>
      </c>
      <c r="B558" s="11" t="s">
        <v>965</v>
      </c>
      <c r="C558" s="11">
        <v>34046647000176</v>
      </c>
      <c r="E558" s="12" t="s">
        <v>23</v>
      </c>
      <c r="F558" s="12" t="s">
        <v>3317</v>
      </c>
      <c r="G558" s="11" t="s">
        <v>2123</v>
      </c>
      <c r="H558" s="11" t="s">
        <v>968</v>
      </c>
      <c r="I558" s="11" t="s">
        <v>26</v>
      </c>
      <c r="J558" s="11">
        <v>68385000</v>
      </c>
      <c r="K558" s="11" t="s">
        <v>969</v>
      </c>
      <c r="L558" s="11" t="s">
        <v>970</v>
      </c>
      <c r="M558" s="11" t="s">
        <v>225</v>
      </c>
      <c r="P558" s="11" t="s">
        <v>971</v>
      </c>
      <c r="Q558" s="13" t="s">
        <v>972</v>
      </c>
      <c r="R558" s="11" t="s">
        <v>973</v>
      </c>
      <c r="S558" s="12" t="s">
        <v>33</v>
      </c>
      <c r="T558" s="11" t="str">
        <f t="shared" si="18"/>
        <v>-6.7517239</v>
      </c>
      <c r="U558" s="11" t="str">
        <f t="shared" si="19"/>
        <v>-51.1507941</v>
      </c>
    </row>
    <row r="559" spans="1:21">
      <c r="A559" s="11" t="s">
        <v>3318</v>
      </c>
      <c r="B559" s="11" t="s">
        <v>318</v>
      </c>
      <c r="C559" s="11">
        <v>34512374000299</v>
      </c>
      <c r="E559" s="12" t="s">
        <v>23</v>
      </c>
      <c r="F559" s="12" t="s">
        <v>319</v>
      </c>
      <c r="G559" s="11" t="s">
        <v>3266</v>
      </c>
      <c r="H559" s="11">
        <v>47</v>
      </c>
      <c r="I559" s="11" t="s">
        <v>978</v>
      </c>
      <c r="J559" s="11">
        <v>45000390</v>
      </c>
      <c r="K559" s="11" t="s">
        <v>39</v>
      </c>
      <c r="L559" s="11" t="s">
        <v>323</v>
      </c>
      <c r="M559" s="11" t="s">
        <v>86</v>
      </c>
      <c r="P559" s="11" t="s">
        <v>3267</v>
      </c>
      <c r="Q559" s="13" t="s">
        <v>3268</v>
      </c>
      <c r="R559" s="11" t="s">
        <v>3269</v>
      </c>
      <c r="S559" s="12" t="s">
        <v>33</v>
      </c>
      <c r="T559" s="11" t="str">
        <f t="shared" si="18"/>
        <v>-14.8518101</v>
      </c>
      <c r="U559" s="11" t="str">
        <f t="shared" si="19"/>
        <v>-40.8383495</v>
      </c>
    </row>
    <row r="560" spans="1:21">
      <c r="A560" s="11" t="s">
        <v>3319</v>
      </c>
      <c r="B560" s="11" t="s">
        <v>842</v>
      </c>
      <c r="C560" s="11">
        <v>45783280000190</v>
      </c>
      <c r="E560" s="12" t="s">
        <v>23</v>
      </c>
      <c r="F560" s="12" t="s">
        <v>302</v>
      </c>
      <c r="G560" s="11" t="s">
        <v>843</v>
      </c>
      <c r="H560" s="11">
        <v>165</v>
      </c>
      <c r="I560" s="11" t="s">
        <v>2384</v>
      </c>
      <c r="J560" s="11">
        <v>40070080</v>
      </c>
      <c r="K560" s="11" t="s">
        <v>844</v>
      </c>
      <c r="L560" s="11" t="s">
        <v>755</v>
      </c>
      <c r="M560" s="11" t="s">
        <v>86</v>
      </c>
      <c r="P560" s="11" t="s">
        <v>845</v>
      </c>
      <c r="Q560" s="13" t="s">
        <v>846</v>
      </c>
      <c r="R560" s="11" t="s">
        <v>847</v>
      </c>
      <c r="S560" s="12" t="s">
        <v>33</v>
      </c>
      <c r="T560" s="11" t="str">
        <f t="shared" si="18"/>
        <v>-12.9843168</v>
      </c>
      <c r="U560" s="11" t="str">
        <f t="shared" si="19"/>
        <v>-38.5131907</v>
      </c>
    </row>
    <row r="561" spans="1:21">
      <c r="A561" s="11" t="s">
        <v>3320</v>
      </c>
      <c r="B561" s="11" t="s">
        <v>3309</v>
      </c>
      <c r="C561" s="11">
        <v>56196739000175</v>
      </c>
      <c r="E561" s="12" t="s">
        <v>23</v>
      </c>
      <c r="F561" s="12" t="s">
        <v>3321</v>
      </c>
      <c r="G561" s="11" t="s">
        <v>3311</v>
      </c>
      <c r="H561" s="11">
        <v>359</v>
      </c>
      <c r="I561" s="11" t="s">
        <v>851</v>
      </c>
      <c r="J561" s="11">
        <v>65725000</v>
      </c>
      <c r="K561" s="11" t="s">
        <v>39</v>
      </c>
      <c r="L561" s="11" t="s">
        <v>3312</v>
      </c>
      <c r="M561" s="11" t="s">
        <v>281</v>
      </c>
      <c r="P561" s="11" t="s">
        <v>3313</v>
      </c>
      <c r="Q561" s="13" t="s">
        <v>3314</v>
      </c>
      <c r="R561" s="11" t="s">
        <v>3315</v>
      </c>
      <c r="S561" s="12" t="s">
        <v>33</v>
      </c>
      <c r="T561" s="11" t="str">
        <f t="shared" si="18"/>
        <v>-4.5687989</v>
      </c>
      <c r="U561" s="11" t="str">
        <f t="shared" si="19"/>
        <v>-44.6003029</v>
      </c>
    </row>
    <row r="562" spans="1:21">
      <c r="A562" s="11" t="s">
        <v>3322</v>
      </c>
      <c r="B562" s="11" t="s">
        <v>3323</v>
      </c>
      <c r="C562" s="11">
        <v>56182815000193</v>
      </c>
      <c r="E562" s="12" t="s">
        <v>23</v>
      </c>
      <c r="F562" s="12" t="s">
        <v>3324</v>
      </c>
      <c r="G562" s="11" t="s">
        <v>3325</v>
      </c>
      <c r="H562" s="11" t="s">
        <v>129</v>
      </c>
      <c r="I562" s="11" t="s">
        <v>3326</v>
      </c>
      <c r="J562" s="11">
        <v>45836000</v>
      </c>
      <c r="K562" s="11" t="s">
        <v>39</v>
      </c>
      <c r="L562" s="11" t="s">
        <v>3327</v>
      </c>
      <c r="M562" s="11" t="s">
        <v>86</v>
      </c>
      <c r="P562" s="11" t="s">
        <v>3328</v>
      </c>
      <c r="Q562" s="13" t="s">
        <v>3329</v>
      </c>
      <c r="R562" s="11" t="s">
        <v>3330</v>
      </c>
      <c r="S562" s="12" t="s">
        <v>33</v>
      </c>
      <c r="T562" s="11" t="str">
        <f t="shared" si="18"/>
        <v>-17.0340092</v>
      </c>
      <c r="U562" s="11" t="str">
        <f t="shared" si="19"/>
        <v>-39.5315525</v>
      </c>
    </row>
    <row r="563" spans="1:21">
      <c r="A563" s="11" t="s">
        <v>3331</v>
      </c>
      <c r="B563" s="11" t="s">
        <v>3332</v>
      </c>
      <c r="C563" s="11">
        <v>51677959000105</v>
      </c>
      <c r="E563" s="12" t="s">
        <v>23</v>
      </c>
      <c r="F563" s="12" t="s">
        <v>1773</v>
      </c>
      <c r="G563" s="11" t="s">
        <v>1774</v>
      </c>
      <c r="H563" s="11">
        <v>220</v>
      </c>
      <c r="I563" s="11" t="s">
        <v>3333</v>
      </c>
      <c r="J563" s="11">
        <v>65485000</v>
      </c>
      <c r="K563" s="11" t="s">
        <v>1776</v>
      </c>
      <c r="L563" s="11" t="s">
        <v>1777</v>
      </c>
      <c r="M563" s="11" t="s">
        <v>281</v>
      </c>
      <c r="P563" s="11" t="s">
        <v>1778</v>
      </c>
      <c r="Q563" s="13" t="s">
        <v>1779</v>
      </c>
      <c r="R563" s="11" t="s">
        <v>1780</v>
      </c>
      <c r="S563" s="12" t="s">
        <v>33</v>
      </c>
      <c r="T563" s="11" t="str">
        <f t="shared" si="18"/>
        <v>-3.3973569</v>
      </c>
      <c r="U563" s="11" t="str">
        <f t="shared" si="19"/>
        <v>-44.3560724</v>
      </c>
    </row>
    <row r="564" spans="1:21">
      <c r="A564" s="11" t="s">
        <v>3334</v>
      </c>
      <c r="B564" s="11" t="s">
        <v>3335</v>
      </c>
      <c r="C564" s="11">
        <v>52633988000120</v>
      </c>
      <c r="E564" s="12" t="s">
        <v>23</v>
      </c>
      <c r="F564" s="12" t="s">
        <v>3336</v>
      </c>
      <c r="G564" s="11" t="s">
        <v>3337</v>
      </c>
      <c r="H564" s="11">
        <v>4038</v>
      </c>
      <c r="I564" s="11" t="s">
        <v>2384</v>
      </c>
      <c r="J564" s="11">
        <v>66065122</v>
      </c>
      <c r="K564" s="11" t="s">
        <v>3338</v>
      </c>
      <c r="L564" s="11" t="s">
        <v>3339</v>
      </c>
      <c r="M564" s="11" t="s">
        <v>225</v>
      </c>
      <c r="P564" s="11" t="s">
        <v>3340</v>
      </c>
      <c r="Q564" s="13" t="s">
        <v>3341</v>
      </c>
      <c r="R564" s="11" t="s">
        <v>3342</v>
      </c>
      <c r="S564" s="12" t="s">
        <v>33</v>
      </c>
      <c r="T564" s="11" t="str">
        <f t="shared" si="18"/>
        <v>-1.4746844</v>
      </c>
      <c r="U564" s="11" t="str">
        <f t="shared" si="19"/>
        <v>-48.4717738</v>
      </c>
    </row>
    <row r="565" spans="1:21">
      <c r="A565" s="11" t="s">
        <v>3343</v>
      </c>
      <c r="B565" s="11" t="s">
        <v>2733</v>
      </c>
      <c r="C565" s="11">
        <v>48373439000196</v>
      </c>
      <c r="E565" s="12" t="s">
        <v>23</v>
      </c>
      <c r="F565" s="12" t="s">
        <v>3344</v>
      </c>
      <c r="G565" s="11" t="s">
        <v>2735</v>
      </c>
      <c r="H565" s="11">
        <v>1</v>
      </c>
      <c r="I565" s="11" t="s">
        <v>2384</v>
      </c>
      <c r="J565" s="11">
        <v>58840000</v>
      </c>
      <c r="K565" s="11" t="s">
        <v>39</v>
      </c>
      <c r="L565" s="11" t="s">
        <v>2736</v>
      </c>
      <c r="M565" s="11" t="s">
        <v>187</v>
      </c>
      <c r="P565" s="11" t="s">
        <v>2737</v>
      </c>
      <c r="Q565" s="13" t="s">
        <v>2738</v>
      </c>
      <c r="R565" s="11" t="s">
        <v>2739</v>
      </c>
      <c r="S565" s="12" t="s">
        <v>33</v>
      </c>
      <c r="T565" s="11" t="str">
        <f t="shared" si="18"/>
        <v>-6.7711315</v>
      </c>
      <c r="U565" s="11" t="str">
        <f t="shared" si="19"/>
        <v>-37.7988646</v>
      </c>
    </row>
    <row r="566" spans="1:21">
      <c r="A566" s="11" t="s">
        <v>3345</v>
      </c>
      <c r="B566" s="11" t="s">
        <v>3346</v>
      </c>
      <c r="C566" s="11">
        <v>44028430000359</v>
      </c>
      <c r="E566" s="12" t="s">
        <v>23</v>
      </c>
      <c r="F566" s="12" t="s">
        <v>1557</v>
      </c>
      <c r="G566" s="11" t="s">
        <v>1946</v>
      </c>
      <c r="H566" s="11">
        <v>3300</v>
      </c>
      <c r="I566" s="11" t="s">
        <v>3347</v>
      </c>
      <c r="J566" s="11">
        <v>78050280</v>
      </c>
      <c r="K566" s="11" t="s">
        <v>1947</v>
      </c>
      <c r="L566" s="11" t="s">
        <v>1948</v>
      </c>
      <c r="M566" s="11" t="s">
        <v>1561</v>
      </c>
      <c r="P566" s="11" t="s">
        <v>1949</v>
      </c>
      <c r="Q566" s="13" t="s">
        <v>1950</v>
      </c>
      <c r="R566" s="11" t="s">
        <v>1951</v>
      </c>
      <c r="S566" s="12" t="s">
        <v>33</v>
      </c>
      <c r="T566" s="11" t="str">
        <f t="shared" si="18"/>
        <v>-15.5618627</v>
      </c>
      <c r="U566" s="11" t="str">
        <f t="shared" si="19"/>
        <v>-56.0633899</v>
      </c>
    </row>
    <row r="567" spans="1:21">
      <c r="A567" s="11" t="s">
        <v>3348</v>
      </c>
      <c r="B567" s="11" t="s">
        <v>3349</v>
      </c>
      <c r="C567" s="11">
        <v>57045212000102</v>
      </c>
      <c r="E567" s="12" t="s">
        <v>23</v>
      </c>
      <c r="F567" s="12" t="s">
        <v>3350</v>
      </c>
      <c r="G567" s="11" t="s">
        <v>3351</v>
      </c>
      <c r="H567" s="11">
        <v>1275</v>
      </c>
      <c r="I567" s="11" t="s">
        <v>3352</v>
      </c>
      <c r="J567" s="11">
        <v>32315000</v>
      </c>
      <c r="K567" s="11" t="s">
        <v>3353</v>
      </c>
      <c r="L567" s="11" t="s">
        <v>2500</v>
      </c>
      <c r="M567" s="11" t="s">
        <v>404</v>
      </c>
      <c r="P567" s="11" t="s">
        <v>3354</v>
      </c>
      <c r="Q567" s="13" t="s">
        <v>3355</v>
      </c>
      <c r="R567" s="11" t="s">
        <v>3356</v>
      </c>
      <c r="S567" s="12" t="s">
        <v>33</v>
      </c>
      <c r="T567" s="11" t="str">
        <f t="shared" si="18"/>
        <v>-19.9426680</v>
      </c>
      <c r="U567" s="11" t="str">
        <f t="shared" si="19"/>
        <v>-44.0404403</v>
      </c>
    </row>
    <row r="568" spans="1:21">
      <c r="A568" s="11" t="s">
        <v>3357</v>
      </c>
      <c r="B568" s="11" t="s">
        <v>3358</v>
      </c>
      <c r="C568" s="11">
        <v>57296734000187</v>
      </c>
      <c r="E568" s="12" t="s">
        <v>23</v>
      </c>
      <c r="F568" s="12" t="s">
        <v>3359</v>
      </c>
      <c r="G568" s="11" t="s">
        <v>3360</v>
      </c>
      <c r="H568" s="11">
        <v>500</v>
      </c>
      <c r="I568" s="11" t="s">
        <v>3361</v>
      </c>
      <c r="J568" s="11">
        <v>27535320</v>
      </c>
      <c r="K568" s="11" t="s">
        <v>3362</v>
      </c>
      <c r="L568" s="11" t="s">
        <v>3363</v>
      </c>
      <c r="M568" s="11" t="s">
        <v>68</v>
      </c>
      <c r="P568" s="11" t="s">
        <v>3364</v>
      </c>
      <c r="Q568" s="13" t="s">
        <v>3365</v>
      </c>
      <c r="R568" s="11" t="s">
        <v>3366</v>
      </c>
      <c r="S568" s="12" t="s">
        <v>33</v>
      </c>
      <c r="T568" s="11" t="str">
        <f t="shared" si="18"/>
        <v>-22.4600812</v>
      </c>
      <c r="U568" s="11" t="str">
        <f t="shared" si="19"/>
        <v>-44.4411481</v>
      </c>
    </row>
    <row r="569" spans="1:21">
      <c r="A569" s="11" t="s">
        <v>3367</v>
      </c>
      <c r="B569" s="11" t="s">
        <v>3368</v>
      </c>
      <c r="C569" s="11">
        <v>57256509000206</v>
      </c>
      <c r="E569" s="12" t="s">
        <v>23</v>
      </c>
      <c r="F569" s="12" t="s">
        <v>3369</v>
      </c>
      <c r="G569" s="11" t="s">
        <v>3370</v>
      </c>
      <c r="H569" s="11">
        <v>69</v>
      </c>
      <c r="I569" s="11" t="s">
        <v>3371</v>
      </c>
      <c r="J569" s="11">
        <v>55150190</v>
      </c>
      <c r="K569" s="11" t="s">
        <v>39</v>
      </c>
      <c r="L569" s="11" t="s">
        <v>3372</v>
      </c>
      <c r="M569" s="11" t="s">
        <v>29</v>
      </c>
      <c r="P569" s="11" t="s">
        <v>3373</v>
      </c>
      <c r="Q569" s="13" t="s">
        <v>3374</v>
      </c>
      <c r="R569" s="11" t="s">
        <v>3375</v>
      </c>
      <c r="S569" s="12" t="s">
        <v>33</v>
      </c>
      <c r="T569" s="11" t="str">
        <f t="shared" si="18"/>
        <v>-8.3311295</v>
      </c>
      <c r="U569" s="11" t="str">
        <f t="shared" si="19"/>
        <v>-36.4191858</v>
      </c>
    </row>
    <row r="570" spans="1:21">
      <c r="A570" s="11" t="s">
        <v>3376</v>
      </c>
      <c r="B570" s="11" t="s">
        <v>3377</v>
      </c>
      <c r="C570" s="11">
        <v>51593668000120</v>
      </c>
      <c r="E570" s="12" t="s">
        <v>23</v>
      </c>
      <c r="F570" s="12" t="s">
        <v>1758</v>
      </c>
      <c r="G570" s="11" t="s">
        <v>3378</v>
      </c>
      <c r="H570" s="11">
        <v>78</v>
      </c>
      <c r="I570" s="11" t="s">
        <v>26</v>
      </c>
      <c r="J570" s="11">
        <v>49680000</v>
      </c>
      <c r="K570" s="11" t="s">
        <v>39</v>
      </c>
      <c r="L570" s="11" t="s">
        <v>1761</v>
      </c>
      <c r="M570" s="11" t="s">
        <v>49</v>
      </c>
      <c r="P570" s="11" t="s">
        <v>1762</v>
      </c>
      <c r="Q570" s="13" t="s">
        <v>1763</v>
      </c>
      <c r="R570" s="11" t="s">
        <v>1764</v>
      </c>
      <c r="S570" s="12" t="s">
        <v>33</v>
      </c>
      <c r="T570" s="11" t="str">
        <f t="shared" si="18"/>
        <v>-10.2188811</v>
      </c>
      <c r="U570" s="11" t="str">
        <f t="shared" si="19"/>
        <v>-37.4199759</v>
      </c>
    </row>
    <row r="571" spans="1:21">
      <c r="A571" s="11" t="s">
        <v>3379</v>
      </c>
      <c r="B571" s="11" t="s">
        <v>572</v>
      </c>
      <c r="C571" s="11">
        <v>49922855000169</v>
      </c>
      <c r="E571" s="12" t="s">
        <v>23</v>
      </c>
      <c r="F571" s="12" t="s">
        <v>3380</v>
      </c>
      <c r="G571" s="11" t="s">
        <v>3381</v>
      </c>
      <c r="H571" s="11">
        <v>664</v>
      </c>
      <c r="I571" s="11" t="s">
        <v>1768</v>
      </c>
      <c r="J571" s="11">
        <v>83405030</v>
      </c>
      <c r="K571" s="11" t="s">
        <v>2826</v>
      </c>
      <c r="L571" s="11" t="s">
        <v>3382</v>
      </c>
      <c r="M571" s="11" t="s">
        <v>679</v>
      </c>
      <c r="P571" s="11" t="s">
        <v>3383</v>
      </c>
      <c r="Q571" s="13">
        <v>-25.360863899999998</v>
      </c>
      <c r="R571" s="11">
        <v>-49.188504700000003</v>
      </c>
      <c r="S571" s="12" t="s">
        <v>70</v>
      </c>
      <c r="T571" s="11" t="str">
        <f t="shared" si="18"/>
        <v>-25.3608639</v>
      </c>
      <c r="U571" s="11" t="str">
        <f t="shared" si="19"/>
        <v>-49.1885047</v>
      </c>
    </row>
    <row r="572" spans="1:21">
      <c r="A572" s="11" t="s">
        <v>3384</v>
      </c>
      <c r="B572" s="11" t="s">
        <v>1572</v>
      </c>
      <c r="C572" s="11">
        <v>41243185000142</v>
      </c>
      <c r="E572" s="12" t="s">
        <v>23</v>
      </c>
      <c r="F572" s="12" t="s">
        <v>1573</v>
      </c>
      <c r="G572" s="11" t="s">
        <v>1574</v>
      </c>
      <c r="H572" s="11">
        <v>647</v>
      </c>
      <c r="I572" s="11" t="s">
        <v>3385</v>
      </c>
      <c r="J572" s="11">
        <v>58075075</v>
      </c>
      <c r="K572" s="11" t="s">
        <v>1576</v>
      </c>
      <c r="L572" s="11" t="s">
        <v>197</v>
      </c>
      <c r="M572" s="11" t="s">
        <v>187</v>
      </c>
      <c r="P572" s="11" t="s">
        <v>1577</v>
      </c>
      <c r="Q572" s="13" t="s">
        <v>1578</v>
      </c>
      <c r="R572" s="11" t="s">
        <v>1579</v>
      </c>
      <c r="S572" s="12" t="s">
        <v>33</v>
      </c>
      <c r="T572" s="11" t="str">
        <f t="shared" si="18"/>
        <v>-7.1737481</v>
      </c>
      <c r="U572" s="11" t="str">
        <f t="shared" si="19"/>
        <v>-34.8660864</v>
      </c>
    </row>
    <row r="573" spans="1:21">
      <c r="A573" s="11" t="s">
        <v>3386</v>
      </c>
      <c r="B573" s="11" t="s">
        <v>3387</v>
      </c>
      <c r="C573" s="11">
        <v>57090589000183</v>
      </c>
      <c r="E573" s="12" t="s">
        <v>23</v>
      </c>
      <c r="F573" s="12" t="s">
        <v>3388</v>
      </c>
      <c r="G573" s="11" t="s">
        <v>3389</v>
      </c>
      <c r="H573" s="11">
        <v>141</v>
      </c>
      <c r="I573" s="11" t="s">
        <v>26</v>
      </c>
      <c r="J573" s="11">
        <v>56460000</v>
      </c>
      <c r="K573" s="11" t="s">
        <v>39</v>
      </c>
      <c r="L573" s="11" t="s">
        <v>3390</v>
      </c>
      <c r="M573" s="11" t="s">
        <v>29</v>
      </c>
      <c r="P573" s="11" t="s">
        <v>3391</v>
      </c>
      <c r="Q573" s="13" t="s">
        <v>3392</v>
      </c>
      <c r="R573" s="11" t="s">
        <v>3393</v>
      </c>
      <c r="S573" s="12" t="s">
        <v>33</v>
      </c>
      <c r="T573" s="11" t="str">
        <f t="shared" si="18"/>
        <v>-8.9701861</v>
      </c>
      <c r="U573" s="11" t="str">
        <f t="shared" si="19"/>
        <v>-38.2213655</v>
      </c>
    </row>
    <row r="574" spans="1:21">
      <c r="A574" s="11" t="s">
        <v>3394</v>
      </c>
      <c r="B574" s="11" t="s">
        <v>3395</v>
      </c>
      <c r="C574" s="11">
        <v>51543087000184</v>
      </c>
      <c r="E574" s="12" t="s">
        <v>23</v>
      </c>
      <c r="F574" s="12" t="s">
        <v>339</v>
      </c>
      <c r="G574" s="11" t="s">
        <v>798</v>
      </c>
      <c r="H574" s="11">
        <v>2395</v>
      </c>
      <c r="I574" s="11" t="s">
        <v>26</v>
      </c>
      <c r="J574" s="11">
        <v>59110200</v>
      </c>
      <c r="K574" s="11" t="s">
        <v>799</v>
      </c>
      <c r="L574" s="11" t="s">
        <v>343</v>
      </c>
      <c r="M574" s="11" t="s">
        <v>215</v>
      </c>
      <c r="P574" s="11" t="s">
        <v>800</v>
      </c>
      <c r="Q574" s="13">
        <v>-5.7592008999999997</v>
      </c>
      <c r="R574" s="11">
        <v>-35.246831800000002</v>
      </c>
      <c r="S574" s="12" t="s">
        <v>70</v>
      </c>
      <c r="T574" s="11" t="str">
        <f t="shared" si="18"/>
        <v>-5.7592009</v>
      </c>
      <c r="U574" s="11" t="str">
        <f t="shared" si="19"/>
        <v>-35.2468318</v>
      </c>
    </row>
    <row r="575" spans="1:21">
      <c r="P575" s="11"/>
    </row>
    <row r="576" spans="1:21">
      <c r="A576" s="11" t="s">
        <v>3396</v>
      </c>
      <c r="B576" s="11" t="s">
        <v>2772</v>
      </c>
      <c r="C576" s="11">
        <v>54504240000152</v>
      </c>
      <c r="E576" s="12" t="s">
        <v>23</v>
      </c>
      <c r="F576" s="12" t="s">
        <v>2773</v>
      </c>
      <c r="G576" s="11" t="s">
        <v>2774</v>
      </c>
      <c r="H576" s="11" t="s">
        <v>129</v>
      </c>
      <c r="I576" s="11" t="s">
        <v>26</v>
      </c>
      <c r="J576" s="11">
        <v>41745010</v>
      </c>
      <c r="K576" s="11" t="s">
        <v>2775</v>
      </c>
      <c r="L576" s="11" t="s">
        <v>755</v>
      </c>
      <c r="M576" s="11" t="s">
        <v>86</v>
      </c>
      <c r="P576" s="11" t="s">
        <v>2776</v>
      </c>
      <c r="Q576" s="13" t="s">
        <v>2777</v>
      </c>
      <c r="R576" s="11" t="s">
        <v>2778</v>
      </c>
      <c r="S576" s="12" t="s">
        <v>33</v>
      </c>
      <c r="T576" s="11" t="str">
        <f t="shared" si="18"/>
        <v>-12.9455376</v>
      </c>
      <c r="U576" s="11" t="str">
        <f t="shared" si="19"/>
        <v>-38.4210589</v>
      </c>
    </row>
    <row r="577" spans="1:21">
      <c r="A577" s="11" t="s">
        <v>3397</v>
      </c>
      <c r="B577" s="11" t="s">
        <v>3398</v>
      </c>
      <c r="C577" s="11">
        <v>57081610000184</v>
      </c>
      <c r="E577" s="12" t="s">
        <v>23</v>
      </c>
      <c r="F577" s="12" t="s">
        <v>3399</v>
      </c>
      <c r="G577" s="11" t="s">
        <v>897</v>
      </c>
      <c r="H577" s="11">
        <v>5000</v>
      </c>
      <c r="I577" s="11" t="s">
        <v>26</v>
      </c>
      <c r="J577" s="11">
        <v>58434500</v>
      </c>
      <c r="K577" s="11" t="s">
        <v>3400</v>
      </c>
      <c r="L577" s="11" t="s">
        <v>186</v>
      </c>
      <c r="M577" s="11" t="s">
        <v>187</v>
      </c>
      <c r="P577" s="11" t="s">
        <v>3401</v>
      </c>
      <c r="Q577" s="13">
        <v>-7.2416127000000001</v>
      </c>
      <c r="R577" s="11">
        <v>-35.9331964</v>
      </c>
      <c r="S577" s="12" t="s">
        <v>70</v>
      </c>
      <c r="T577" s="11" t="str">
        <f t="shared" si="18"/>
        <v>-7.2416127</v>
      </c>
      <c r="U577" s="11" t="str">
        <f t="shared" si="19"/>
        <v>-35.9331964</v>
      </c>
    </row>
    <row r="578" spans="1:21">
      <c r="A578" s="11" t="s">
        <v>3402</v>
      </c>
      <c r="B578" s="11" t="s">
        <v>3262</v>
      </c>
      <c r="C578" s="11">
        <v>52501212000156</v>
      </c>
      <c r="E578" s="12" t="s">
        <v>23</v>
      </c>
      <c r="F578" s="12" t="s">
        <v>302</v>
      </c>
      <c r="G578" s="11" t="s">
        <v>1264</v>
      </c>
      <c r="H578" s="11">
        <v>987</v>
      </c>
      <c r="I578" s="11" t="s">
        <v>26</v>
      </c>
      <c r="J578" s="11">
        <v>65061021</v>
      </c>
      <c r="K578" s="11" t="s">
        <v>3403</v>
      </c>
      <c r="L578" s="11" t="s">
        <v>511</v>
      </c>
      <c r="M578" s="11" t="s">
        <v>281</v>
      </c>
      <c r="P578" s="11" t="s">
        <v>3264</v>
      </c>
      <c r="Q578" s="13">
        <v>-2.5295051000000002</v>
      </c>
      <c r="R578" s="11">
        <v>-44.255963999999999</v>
      </c>
      <c r="S578" s="12" t="s">
        <v>70</v>
      </c>
      <c r="T578" s="11" t="str">
        <f t="shared" si="18"/>
        <v>-2.5295051</v>
      </c>
      <c r="U578" s="11" t="str">
        <f t="shared" si="19"/>
        <v>-44.255964</v>
      </c>
    </row>
    <row r="579" spans="1:21">
      <c r="A579" s="11" t="s">
        <v>3404</v>
      </c>
      <c r="B579" s="11" t="s">
        <v>3405</v>
      </c>
      <c r="C579" s="11">
        <v>57180191000138</v>
      </c>
      <c r="E579" s="12" t="s">
        <v>23</v>
      </c>
      <c r="F579" s="12" t="s">
        <v>302</v>
      </c>
      <c r="G579" s="11" t="s">
        <v>3406</v>
      </c>
      <c r="H579" s="11" t="s">
        <v>291</v>
      </c>
      <c r="I579" s="11" t="s">
        <v>3407</v>
      </c>
      <c r="J579" s="11">
        <v>56430000</v>
      </c>
      <c r="K579" s="11" t="s">
        <v>39</v>
      </c>
      <c r="L579" s="11" t="s">
        <v>3408</v>
      </c>
      <c r="M579" s="11" t="s">
        <v>29</v>
      </c>
      <c r="P579" s="11" t="s">
        <v>3409</v>
      </c>
      <c r="Q579" s="13" t="s">
        <v>3410</v>
      </c>
      <c r="R579" s="15" t="s">
        <v>3411</v>
      </c>
      <c r="S579" s="12" t="s">
        <v>33</v>
      </c>
      <c r="T579" s="11" t="str">
        <f t="shared" si="18"/>
        <v>-8.7267879</v>
      </c>
      <c r="U579" s="11" t="str">
        <f t="shared" si="19"/>
        <v>-38.6868835</v>
      </c>
    </row>
    <row r="580" spans="1:21">
      <c r="A580" s="11" t="s">
        <v>3412</v>
      </c>
      <c r="B580" s="11" t="s">
        <v>3413</v>
      </c>
      <c r="C580" s="11">
        <v>57345824000110</v>
      </c>
      <c r="E580" s="12" t="s">
        <v>23</v>
      </c>
      <c r="F580" s="12" t="s">
        <v>2746</v>
      </c>
      <c r="G580" s="11" t="s">
        <v>3414</v>
      </c>
      <c r="H580" s="11">
        <v>25</v>
      </c>
      <c r="I580" s="11" t="s">
        <v>3415</v>
      </c>
      <c r="J580" s="11">
        <v>5802140</v>
      </c>
      <c r="K580" s="11" t="s">
        <v>3416</v>
      </c>
      <c r="L580" s="11" t="s">
        <v>411</v>
      </c>
      <c r="M580" s="11" t="s">
        <v>78</v>
      </c>
      <c r="P580" s="11" t="s">
        <v>3417</v>
      </c>
      <c r="Q580" s="13">
        <v>-23.659073200000002</v>
      </c>
      <c r="R580" s="15">
        <v>-46.725117099999999</v>
      </c>
      <c r="S580" s="12" t="s">
        <v>70</v>
      </c>
      <c r="T580" s="11" t="str">
        <f t="shared" si="18"/>
        <v>-23.6590732</v>
      </c>
      <c r="U580" s="11" t="str">
        <f t="shared" si="19"/>
        <v>-46.7251171</v>
      </c>
    </row>
    <row r="581" spans="1:21">
      <c r="P581" s="11"/>
      <c r="R581" s="15"/>
    </row>
    <row r="582" spans="1:21">
      <c r="A582" s="11" t="s">
        <v>3418</v>
      </c>
      <c r="B582" s="11" t="s">
        <v>3419</v>
      </c>
      <c r="C582" s="11">
        <v>57192636000108</v>
      </c>
      <c r="E582" s="12" t="s">
        <v>23</v>
      </c>
      <c r="F582" s="12" t="s">
        <v>3420</v>
      </c>
      <c r="G582" s="11" t="s">
        <v>3421</v>
      </c>
      <c r="H582" s="11">
        <v>24</v>
      </c>
      <c r="I582" s="11" t="s">
        <v>26</v>
      </c>
      <c r="J582" s="11">
        <v>55870000</v>
      </c>
      <c r="K582" s="11" t="s">
        <v>39</v>
      </c>
      <c r="L582" s="11" t="s">
        <v>3422</v>
      </c>
      <c r="M582" s="11" t="s">
        <v>29</v>
      </c>
      <c r="P582" s="11" t="s">
        <v>3423</v>
      </c>
      <c r="Q582" s="13" t="s">
        <v>3424</v>
      </c>
      <c r="R582" s="15" t="s">
        <v>3425</v>
      </c>
      <c r="S582" s="12" t="s">
        <v>33</v>
      </c>
      <c r="T582" s="11" t="str">
        <f t="shared" si="18"/>
        <v>-7.5118822</v>
      </c>
      <c r="U582" s="11" t="str">
        <f t="shared" si="19"/>
        <v>-35.3160760</v>
      </c>
    </row>
    <row r="583" spans="1:21">
      <c r="P583" s="11"/>
      <c r="R583" s="15"/>
    </row>
    <row r="584" spans="1:21">
      <c r="P584" s="11"/>
      <c r="R584" s="15"/>
    </row>
    <row r="585" spans="1:21">
      <c r="A585" s="11" t="s">
        <v>3426</v>
      </c>
      <c r="B585" s="11" t="s">
        <v>923</v>
      </c>
      <c r="C585" s="11">
        <v>36713716000183</v>
      </c>
      <c r="E585" s="12" t="s">
        <v>23</v>
      </c>
      <c r="F585" s="12" t="s">
        <v>924</v>
      </c>
      <c r="G585" s="11" t="s">
        <v>925</v>
      </c>
      <c r="H585" s="11">
        <v>873</v>
      </c>
      <c r="I585" s="11" t="s">
        <v>26</v>
      </c>
      <c r="J585" s="11">
        <v>65631390</v>
      </c>
      <c r="K585" s="11" t="s">
        <v>927</v>
      </c>
      <c r="L585" s="11" t="s">
        <v>928</v>
      </c>
      <c r="M585" s="11" t="s">
        <v>281</v>
      </c>
      <c r="P585" s="11" t="s">
        <v>929</v>
      </c>
      <c r="Q585" s="13" t="s">
        <v>930</v>
      </c>
      <c r="R585" s="15" t="s">
        <v>931</v>
      </c>
      <c r="S585" s="12" t="s">
        <v>33</v>
      </c>
      <c r="T585" s="11" t="str">
        <f t="shared" si="18"/>
        <v>-5.0966487</v>
      </c>
      <c r="U585" s="11" t="str">
        <f t="shared" si="19"/>
        <v>-42.8314036</v>
      </c>
    </row>
    <row r="586" spans="1:21">
      <c r="A586" s="11" t="s">
        <v>3427</v>
      </c>
      <c r="B586" s="11" t="s">
        <v>3428</v>
      </c>
      <c r="C586" s="11">
        <v>55912913000176</v>
      </c>
      <c r="E586" s="12" t="s">
        <v>23</v>
      </c>
      <c r="F586" s="12" t="s">
        <v>3429</v>
      </c>
      <c r="G586" s="11" t="s">
        <v>3430</v>
      </c>
      <c r="H586" s="11">
        <v>183</v>
      </c>
      <c r="I586" s="11" t="s">
        <v>26</v>
      </c>
      <c r="J586" s="11">
        <v>39205000</v>
      </c>
      <c r="K586" s="11" t="s">
        <v>39</v>
      </c>
      <c r="L586" s="11" t="s">
        <v>3431</v>
      </c>
      <c r="M586" s="11" t="s">
        <v>404</v>
      </c>
      <c r="P586" s="11" t="s">
        <v>3432</v>
      </c>
      <c r="Q586" s="13" t="s">
        <v>3433</v>
      </c>
      <c r="R586" s="15" t="s">
        <v>3434</v>
      </c>
      <c r="S586" s="12" t="s">
        <v>33</v>
      </c>
      <c r="T586" s="11" t="str">
        <f t="shared" si="18"/>
        <v>-18.2051533</v>
      </c>
      <c r="U586" s="11" t="str">
        <f t="shared" si="19"/>
        <v>-45.2484314</v>
      </c>
    </row>
    <row r="587" spans="1:21">
      <c r="A587" s="11" t="s">
        <v>3435</v>
      </c>
      <c r="B587" s="11" t="s">
        <v>3436</v>
      </c>
      <c r="C587" s="11">
        <v>22782485000155</v>
      </c>
      <c r="E587" s="12" t="s">
        <v>23</v>
      </c>
      <c r="F587" s="12" t="s">
        <v>1410</v>
      </c>
      <c r="G587" s="11" t="s">
        <v>3437</v>
      </c>
      <c r="H587" s="11">
        <v>151</v>
      </c>
      <c r="I587" s="11" t="s">
        <v>3438</v>
      </c>
      <c r="J587" s="11">
        <v>49500214</v>
      </c>
      <c r="K587" s="11" t="s">
        <v>3439</v>
      </c>
      <c r="L587" s="11" t="s">
        <v>3440</v>
      </c>
      <c r="M587" s="11" t="s">
        <v>49</v>
      </c>
      <c r="P587" s="11" t="s">
        <v>1412</v>
      </c>
      <c r="Q587" s="13">
        <v>-11.192098100000001</v>
      </c>
      <c r="R587" s="15">
        <v>-38.001820100000003</v>
      </c>
      <c r="S587" s="12" t="s">
        <v>70</v>
      </c>
      <c r="T587" s="11" t="str">
        <f t="shared" si="18"/>
        <v>-11.1920981</v>
      </c>
      <c r="U587" s="11" t="str">
        <f t="shared" si="19"/>
        <v>-38.0018201</v>
      </c>
    </row>
    <row r="588" spans="1:21">
      <c r="A588" s="11" t="s">
        <v>3441</v>
      </c>
      <c r="B588" s="11" t="s">
        <v>3368</v>
      </c>
      <c r="C588" s="11">
        <v>57256509000117</v>
      </c>
      <c r="E588" s="12" t="s">
        <v>23</v>
      </c>
      <c r="F588" s="12" t="s">
        <v>3369</v>
      </c>
      <c r="G588" s="11" t="s">
        <v>3442</v>
      </c>
      <c r="H588" s="11">
        <v>71</v>
      </c>
      <c r="I588" s="11" t="s">
        <v>26</v>
      </c>
      <c r="J588" s="11">
        <v>55200000</v>
      </c>
      <c r="K588" s="11" t="s">
        <v>39</v>
      </c>
      <c r="L588" s="11" t="s">
        <v>3443</v>
      </c>
      <c r="M588" s="11" t="s">
        <v>29</v>
      </c>
      <c r="P588" s="11" t="s">
        <v>3444</v>
      </c>
      <c r="Q588" s="13" t="s">
        <v>3445</v>
      </c>
      <c r="R588" s="15" t="s">
        <v>3446</v>
      </c>
      <c r="S588" s="12" t="s">
        <v>33</v>
      </c>
      <c r="T588" s="11" t="str">
        <f t="shared" si="18"/>
        <v>-8.3574471</v>
      </c>
      <c r="U588" s="11" t="str">
        <f t="shared" si="19"/>
        <v>-36.6968238</v>
      </c>
    </row>
    <row r="589" spans="1:21">
      <c r="A589" s="11" t="s">
        <v>3447</v>
      </c>
      <c r="B589" s="11" t="s">
        <v>2467</v>
      </c>
      <c r="C589" s="11">
        <v>48927077000138</v>
      </c>
      <c r="E589" s="12" t="s">
        <v>23</v>
      </c>
      <c r="F589" s="12" t="s">
        <v>2468</v>
      </c>
      <c r="G589" s="11" t="s">
        <v>3448</v>
      </c>
      <c r="H589" s="11">
        <v>835</v>
      </c>
      <c r="I589" s="11" t="s">
        <v>3449</v>
      </c>
      <c r="J589" s="11">
        <v>60020030</v>
      </c>
      <c r="K589" s="11" t="s">
        <v>39</v>
      </c>
      <c r="L589" s="11" t="s">
        <v>437</v>
      </c>
      <c r="M589" s="11" t="s">
        <v>354</v>
      </c>
      <c r="P589" s="11" t="s">
        <v>2470</v>
      </c>
      <c r="Q589" s="13" t="s">
        <v>2471</v>
      </c>
      <c r="R589" s="15" t="s">
        <v>2472</v>
      </c>
      <c r="S589" s="12" t="s">
        <v>33</v>
      </c>
      <c r="T589" s="11" t="str">
        <f t="shared" si="18"/>
        <v>-3.7320876</v>
      </c>
      <c r="U589" s="11" t="str">
        <f t="shared" si="19"/>
        <v>-38.5323206</v>
      </c>
    </row>
    <row r="590" spans="1:21">
      <c r="P590" s="11"/>
      <c r="R590" s="15"/>
    </row>
    <row r="591" spans="1:21">
      <c r="A591" s="11" t="s">
        <v>3450</v>
      </c>
      <c r="B591" s="11" t="s">
        <v>3166</v>
      </c>
      <c r="C591" s="11">
        <v>52472006000246</v>
      </c>
      <c r="E591" s="12" t="s">
        <v>23</v>
      </c>
      <c r="F591" s="12" t="s">
        <v>3451</v>
      </c>
      <c r="G591" s="11" t="s">
        <v>3452</v>
      </c>
      <c r="H591" s="11">
        <v>1500</v>
      </c>
      <c r="I591" s="11" t="s">
        <v>3453</v>
      </c>
      <c r="J591" s="11">
        <v>56308210</v>
      </c>
      <c r="K591" s="11" t="s">
        <v>3454</v>
      </c>
      <c r="L591" s="11" t="s">
        <v>3455</v>
      </c>
      <c r="M591" s="11" t="s">
        <v>29</v>
      </c>
      <c r="P591" s="11" t="s">
        <v>3456</v>
      </c>
      <c r="Q591" s="13">
        <v>-9.3986099999999997</v>
      </c>
      <c r="R591" s="15">
        <v>-40.500830000000001</v>
      </c>
      <c r="S591" s="12" t="s">
        <v>70</v>
      </c>
      <c r="T591" s="11" t="str">
        <f t="shared" si="18"/>
        <v>-9.39861</v>
      </c>
      <c r="U591" s="11" t="str">
        <f t="shared" si="19"/>
        <v>-40.50083</v>
      </c>
    </row>
    <row r="592" spans="1:21">
      <c r="P592" s="11"/>
      <c r="R592" s="15"/>
    </row>
    <row r="593" spans="1:21">
      <c r="A593" s="11" t="s">
        <v>3457</v>
      </c>
      <c r="B593" s="11" t="s">
        <v>3458</v>
      </c>
      <c r="C593" s="11">
        <v>54333488000106</v>
      </c>
      <c r="E593" s="12" t="s">
        <v>23</v>
      </c>
      <c r="F593" s="12" t="s">
        <v>3459</v>
      </c>
      <c r="G593" s="11" t="s">
        <v>3460</v>
      </c>
      <c r="H593" s="11">
        <v>2958</v>
      </c>
      <c r="I593" s="11" t="s">
        <v>978</v>
      </c>
      <c r="J593" s="11">
        <v>78559186</v>
      </c>
      <c r="K593" s="11" t="s">
        <v>3461</v>
      </c>
      <c r="L593" s="11" t="s">
        <v>3462</v>
      </c>
      <c r="M593" s="11" t="s">
        <v>1561</v>
      </c>
      <c r="P593" s="11" t="s">
        <v>3463</v>
      </c>
      <c r="Q593" s="13" t="s">
        <v>3464</v>
      </c>
      <c r="R593" s="15" t="s">
        <v>3465</v>
      </c>
      <c r="S593" s="12" t="s">
        <v>33</v>
      </c>
      <c r="T593" s="11" t="str">
        <f t="shared" si="18"/>
        <v>-11.8919580</v>
      </c>
      <c r="U593" s="11" t="str">
        <f t="shared" si="19"/>
        <v>-55.4803873</v>
      </c>
    </row>
    <row r="594" spans="1:21">
      <c r="A594" s="11" t="s">
        <v>3466</v>
      </c>
      <c r="B594" s="11" t="s">
        <v>2901</v>
      </c>
      <c r="C594" s="11">
        <v>34481516000117</v>
      </c>
      <c r="E594" s="12" t="s">
        <v>23</v>
      </c>
      <c r="F594" s="12" t="s">
        <v>3467</v>
      </c>
      <c r="G594" s="11" t="s">
        <v>3468</v>
      </c>
      <c r="H594" s="11">
        <v>1000</v>
      </c>
      <c r="I594" s="11" t="s">
        <v>3469</v>
      </c>
      <c r="J594" s="11" t="s">
        <v>3470</v>
      </c>
      <c r="K594" s="11" t="s">
        <v>3471</v>
      </c>
      <c r="L594" s="11" t="s">
        <v>3472</v>
      </c>
      <c r="M594" s="11" t="s">
        <v>391</v>
      </c>
      <c r="P594" s="11" t="s">
        <v>475</v>
      </c>
      <c r="Q594" s="13" t="s">
        <v>476</v>
      </c>
      <c r="R594" s="15" t="s">
        <v>477</v>
      </c>
      <c r="S594" s="12" t="s">
        <v>33</v>
      </c>
      <c r="T594" s="11" t="str">
        <f t="shared" si="18"/>
        <v>-5.0847235</v>
      </c>
      <c r="U594" s="11" t="str">
        <f t="shared" si="19"/>
        <v>-42.7900370</v>
      </c>
    </row>
    <row r="595" spans="1:21">
      <c r="A595" s="11" t="s">
        <v>3473</v>
      </c>
      <c r="B595" s="11" t="s">
        <v>2901</v>
      </c>
      <c r="C595" s="11">
        <v>34481516000117</v>
      </c>
      <c r="E595" s="12" t="s">
        <v>23</v>
      </c>
      <c r="F595" s="12" t="s">
        <v>471</v>
      </c>
      <c r="G595" s="11" t="s">
        <v>3468</v>
      </c>
      <c r="H595" s="11">
        <v>1000</v>
      </c>
      <c r="I595" s="11" t="s">
        <v>3469</v>
      </c>
      <c r="J595" s="11">
        <v>64046902</v>
      </c>
      <c r="K595" s="11" t="s">
        <v>3471</v>
      </c>
      <c r="L595" s="11" t="s">
        <v>3472</v>
      </c>
      <c r="M595" s="11" t="s">
        <v>391</v>
      </c>
      <c r="P595" s="11" t="s">
        <v>475</v>
      </c>
      <c r="Q595" s="13" t="s">
        <v>476</v>
      </c>
      <c r="R595" s="15" t="s">
        <v>477</v>
      </c>
      <c r="S595" s="12" t="s">
        <v>33</v>
      </c>
      <c r="T595" s="11" t="str">
        <f t="shared" si="18"/>
        <v>-5.0847235</v>
      </c>
      <c r="U595" s="11" t="str">
        <f t="shared" si="19"/>
        <v>-42.7900370</v>
      </c>
    </row>
    <row r="596" spans="1:21" s="3" customFormat="1">
      <c r="A596" s="1" t="s">
        <v>3474</v>
      </c>
      <c r="B596" s="1" t="s">
        <v>3475</v>
      </c>
      <c r="C596" s="1" t="s">
        <v>3476</v>
      </c>
      <c r="D596" s="2"/>
      <c r="E596" s="2"/>
      <c r="F596" s="2"/>
      <c r="G596" s="1" t="s">
        <v>3477</v>
      </c>
      <c r="H596" s="3">
        <v>346</v>
      </c>
      <c r="I596" s="1" t="s">
        <v>3478</v>
      </c>
      <c r="J596" s="1">
        <v>20520054</v>
      </c>
      <c r="K596" s="1" t="s">
        <v>3479</v>
      </c>
      <c r="L596" s="3" t="s">
        <v>313</v>
      </c>
      <c r="M596" s="3" t="s">
        <v>3480</v>
      </c>
      <c r="N596" s="2"/>
      <c r="O596" s="2"/>
      <c r="P596" s="4"/>
      <c r="Q596" s="4" t="s">
        <v>3481</v>
      </c>
      <c r="R596" s="6">
        <v>-35.876130846216299</v>
      </c>
      <c r="S596" s="2"/>
      <c r="T596" s="4" t="s">
        <v>3481</v>
      </c>
      <c r="U596" s="3">
        <v>-35.876130846216299</v>
      </c>
    </row>
    <row r="597" spans="1:21">
      <c r="A597" s="16"/>
      <c r="B597" s="16"/>
      <c r="C597" s="17"/>
      <c r="G597" s="16"/>
      <c r="I597" s="16"/>
      <c r="J597" s="16"/>
      <c r="K597" s="16"/>
      <c r="L597" s="16"/>
      <c r="P597" s="16"/>
      <c r="Q597" s="11"/>
      <c r="R597" s="15"/>
    </row>
    <row r="598" spans="1:21">
      <c r="A598" s="16"/>
      <c r="B598" s="16"/>
      <c r="C598" s="17"/>
      <c r="G598" s="16"/>
      <c r="I598" s="16"/>
      <c r="J598" s="16"/>
      <c r="K598" s="16"/>
      <c r="L598" s="16"/>
      <c r="P598" s="16"/>
      <c r="Q598" s="11"/>
      <c r="R598" s="15"/>
    </row>
    <row r="599" spans="1:21">
      <c r="A599" s="16" t="s">
        <v>3482</v>
      </c>
      <c r="G599" s="16" t="s">
        <v>3483</v>
      </c>
      <c r="H599" s="11">
        <v>3280</v>
      </c>
      <c r="I599" s="16" t="s">
        <v>3484</v>
      </c>
      <c r="J599" s="16" t="s">
        <v>3485</v>
      </c>
      <c r="K599" s="16" t="s">
        <v>3486</v>
      </c>
      <c r="L599" s="16" t="s">
        <v>3487</v>
      </c>
      <c r="M599" s="11" t="s">
        <v>281</v>
      </c>
      <c r="P599" s="16" t="s">
        <v>3485</v>
      </c>
      <c r="Q599" s="13" t="s">
        <v>3488</v>
      </c>
      <c r="R599" s="15">
        <v>-44.159241044024299</v>
      </c>
      <c r="T599" s="13" t="s">
        <v>3488</v>
      </c>
      <c r="U599" s="11">
        <v>-44.159241044024299</v>
      </c>
    </row>
    <row r="600" spans="1:21">
      <c r="A600" s="16" t="s">
        <v>3489</v>
      </c>
      <c r="G600" s="16" t="s">
        <v>3490</v>
      </c>
      <c r="H600" s="11">
        <v>1500</v>
      </c>
      <c r="I600" s="16" t="s">
        <v>3491</v>
      </c>
      <c r="J600" s="16" t="s">
        <v>3492</v>
      </c>
      <c r="K600" s="16" t="s">
        <v>3493</v>
      </c>
      <c r="L600" s="16" t="s">
        <v>3494</v>
      </c>
      <c r="M600" s="11" t="s">
        <v>354</v>
      </c>
      <c r="P600" s="16" t="s">
        <v>3495</v>
      </c>
      <c r="Q600" s="11">
        <v>-3.7416380870614598</v>
      </c>
      <c r="R600" s="15">
        <v>-38.470322397948202</v>
      </c>
      <c r="T600" s="11">
        <v>-3.7416380870614598</v>
      </c>
      <c r="U600" s="11">
        <v>-38.470322397948202</v>
      </c>
    </row>
    <row r="601" spans="1:21">
      <c r="A601" s="16"/>
      <c r="G601" s="16"/>
      <c r="I601" s="16"/>
      <c r="J601" s="16"/>
      <c r="K601" s="16"/>
      <c r="L601" s="16"/>
      <c r="P601" s="16"/>
      <c r="Q601" s="11"/>
      <c r="R601" s="15"/>
    </row>
    <row r="602" spans="1:21">
      <c r="A602" s="16" t="s">
        <v>3496</v>
      </c>
      <c r="G602" s="16" t="s">
        <v>3497</v>
      </c>
      <c r="H602" s="11">
        <v>348</v>
      </c>
      <c r="I602" s="16" t="s">
        <v>3498</v>
      </c>
      <c r="J602" s="16" t="s">
        <v>3499</v>
      </c>
      <c r="K602" s="16" t="s">
        <v>3500</v>
      </c>
      <c r="L602" s="16" t="s">
        <v>77</v>
      </c>
      <c r="M602" s="16" t="s">
        <v>78</v>
      </c>
      <c r="P602" s="16" t="s">
        <v>3499</v>
      </c>
      <c r="Q602" s="11">
        <v>-23.513614832320801</v>
      </c>
      <c r="R602" s="15">
        <v>-46.606642947578898</v>
      </c>
      <c r="T602" s="11">
        <v>-23.513614832320801</v>
      </c>
      <c r="U602" s="11">
        <v>-46.606642947578898</v>
      </c>
    </row>
    <row r="603" spans="1:21">
      <c r="A603" s="18" t="s">
        <v>3501</v>
      </c>
      <c r="G603" s="18" t="s">
        <v>3502</v>
      </c>
      <c r="H603" s="19">
        <v>1</v>
      </c>
      <c r="I603" s="18" t="s">
        <v>39</v>
      </c>
      <c r="J603" s="18" t="s">
        <v>3503</v>
      </c>
      <c r="K603" s="18" t="s">
        <v>39</v>
      </c>
      <c r="L603" s="18" t="s">
        <v>3504</v>
      </c>
      <c r="M603" s="18" t="s">
        <v>105</v>
      </c>
      <c r="P603" s="18" t="s">
        <v>3503</v>
      </c>
      <c r="Q603" s="13" t="s">
        <v>3505</v>
      </c>
      <c r="R603" s="15">
        <v>-48.917231013160603</v>
      </c>
      <c r="T603" s="13" t="s">
        <v>3505</v>
      </c>
      <c r="U603" s="15">
        <v>-48.917231013160603</v>
      </c>
    </row>
    <row r="604" spans="1:21">
      <c r="A604" s="18" t="s">
        <v>3506</v>
      </c>
      <c r="G604" s="18" t="s">
        <v>3507</v>
      </c>
      <c r="H604" s="20">
        <v>1361</v>
      </c>
      <c r="I604" s="18" t="s">
        <v>3508</v>
      </c>
      <c r="J604" s="18" t="s">
        <v>3509</v>
      </c>
      <c r="K604" s="18" t="s">
        <v>3510</v>
      </c>
      <c r="L604" s="18" t="s">
        <v>343</v>
      </c>
      <c r="M604" s="20" t="s">
        <v>215</v>
      </c>
      <c r="P604" s="18" t="s">
        <v>3509</v>
      </c>
      <c r="Q604" s="13" t="s">
        <v>3511</v>
      </c>
      <c r="R604" s="15">
        <v>-35.236741502860298</v>
      </c>
      <c r="T604" s="13" t="s">
        <v>3511</v>
      </c>
      <c r="U604" s="15">
        <v>-35.236741502860298</v>
      </c>
    </row>
    <row r="605" spans="1:21">
      <c r="A605" s="18"/>
      <c r="G605" s="18"/>
      <c r="H605" s="20"/>
      <c r="I605" s="18"/>
      <c r="J605" s="18"/>
      <c r="K605" s="18"/>
      <c r="L605" s="18"/>
      <c r="M605" s="20"/>
      <c r="P605" s="18"/>
      <c r="R605" s="15"/>
      <c r="T605" s="13"/>
      <c r="U605" s="15"/>
    </row>
    <row r="606" spans="1:21">
      <c r="A606" s="18" t="s">
        <v>3512</v>
      </c>
      <c r="G606" s="18" t="s">
        <v>3513</v>
      </c>
      <c r="H606" s="20">
        <v>668</v>
      </c>
      <c r="I606" s="18" t="s">
        <v>3514</v>
      </c>
      <c r="J606" s="18" t="s">
        <v>3515</v>
      </c>
      <c r="K606" s="18" t="s">
        <v>3516</v>
      </c>
      <c r="L606" s="18" t="s">
        <v>77</v>
      </c>
      <c r="M606" s="20" t="s">
        <v>78</v>
      </c>
      <c r="P606" s="18" t="s">
        <v>3515</v>
      </c>
      <c r="Q606" s="13" t="s">
        <v>3517</v>
      </c>
      <c r="R606" s="15">
        <v>-46.657528034644798</v>
      </c>
      <c r="T606" s="13" t="s">
        <v>3517</v>
      </c>
      <c r="U606" s="15">
        <v>-46.657528034644798</v>
      </c>
    </row>
    <row r="607" spans="1:21">
      <c r="A607" s="21" t="s">
        <v>3518</v>
      </c>
      <c r="G607" s="21" t="s">
        <v>3519</v>
      </c>
      <c r="H607" s="22" t="s">
        <v>129</v>
      </c>
      <c r="I607" s="23" t="s">
        <v>3520</v>
      </c>
      <c r="J607" s="23" t="s">
        <v>3521</v>
      </c>
      <c r="K607" s="23" t="s">
        <v>3522</v>
      </c>
      <c r="L607" s="23" t="s">
        <v>77</v>
      </c>
      <c r="M607" s="22" t="s">
        <v>78</v>
      </c>
      <c r="P607" s="23" t="s">
        <v>3521</v>
      </c>
      <c r="Q607" s="13" t="s">
        <v>3523</v>
      </c>
      <c r="R607" s="15">
        <v>-46.640702138160599</v>
      </c>
      <c r="T607" s="13" t="s">
        <v>3523</v>
      </c>
      <c r="U607" s="11">
        <v>-46.640702138160599</v>
      </c>
    </row>
    <row r="608" spans="1:21">
      <c r="A608" s="24"/>
      <c r="G608" s="24"/>
      <c r="H608" s="25"/>
      <c r="I608" s="26"/>
      <c r="J608" s="26"/>
      <c r="K608" s="26"/>
      <c r="L608" s="26"/>
      <c r="M608" s="25"/>
      <c r="P608" s="26"/>
      <c r="R608" s="15"/>
      <c r="T608" s="13"/>
    </row>
    <row r="609" spans="1:21">
      <c r="A609" s="24" t="s">
        <v>3524</v>
      </c>
      <c r="G609" s="24" t="s">
        <v>3525</v>
      </c>
      <c r="H609" s="25">
        <v>992</v>
      </c>
      <c r="I609" s="26" t="s">
        <v>3439</v>
      </c>
      <c r="J609" s="26" t="s">
        <v>3526</v>
      </c>
      <c r="K609" s="26" t="s">
        <v>3439</v>
      </c>
      <c r="L609" s="26" t="s">
        <v>3527</v>
      </c>
      <c r="M609" s="25" t="s">
        <v>354</v>
      </c>
      <c r="P609" s="26" t="s">
        <v>3526</v>
      </c>
      <c r="Q609" s="13" t="s">
        <v>3528</v>
      </c>
      <c r="R609" s="15">
        <v>-38.193136475432702</v>
      </c>
      <c r="T609" s="13" t="s">
        <v>3528</v>
      </c>
      <c r="U609" s="11">
        <v>-38.193136475432702</v>
      </c>
    </row>
    <row r="610" spans="1:21">
      <c r="A610" s="24" t="s">
        <v>3529</v>
      </c>
      <c r="G610" s="24" t="s">
        <v>3530</v>
      </c>
      <c r="H610" s="25">
        <v>200</v>
      </c>
      <c r="I610" s="26" t="s">
        <v>3531</v>
      </c>
      <c r="J610" s="26" t="s">
        <v>3532</v>
      </c>
      <c r="K610" s="26" t="s">
        <v>1576</v>
      </c>
      <c r="L610" s="26" t="s">
        <v>197</v>
      </c>
      <c r="M610" s="25" t="s">
        <v>187</v>
      </c>
      <c r="P610" s="26" t="s">
        <v>3532</v>
      </c>
      <c r="Q610" s="13" t="s">
        <v>3533</v>
      </c>
      <c r="R610" s="15">
        <v>-34.866821307918201</v>
      </c>
      <c r="T610" s="13" t="s">
        <v>3533</v>
      </c>
      <c r="U610" s="11">
        <v>-34.866821307918201</v>
      </c>
    </row>
    <row r="611" spans="1:21">
      <c r="A611" s="24" t="s">
        <v>3534</v>
      </c>
      <c r="G611" s="24" t="s">
        <v>3535</v>
      </c>
      <c r="H611" s="26">
        <v>584</v>
      </c>
      <c r="I611" s="26" t="s">
        <v>3439</v>
      </c>
      <c r="J611" s="26" t="s">
        <v>3536</v>
      </c>
      <c r="K611" s="26" t="s">
        <v>3537</v>
      </c>
      <c r="L611" s="26" t="s">
        <v>457</v>
      </c>
      <c r="M611" s="25" t="s">
        <v>354</v>
      </c>
      <c r="P611" s="26" t="s">
        <v>3536</v>
      </c>
      <c r="Q611" s="13" t="s">
        <v>3538</v>
      </c>
      <c r="R611" s="15">
        <v>-38.364882089311401</v>
      </c>
      <c r="T611" s="13" t="s">
        <v>3538</v>
      </c>
      <c r="U611" s="11">
        <v>-38.364882089311401</v>
      </c>
    </row>
    <row r="612" spans="1:21">
      <c r="A612" s="24" t="s">
        <v>3539</v>
      </c>
      <c r="G612" s="24" t="s">
        <v>3540</v>
      </c>
      <c r="H612" s="25">
        <v>55</v>
      </c>
      <c r="I612" s="26" t="s">
        <v>3541</v>
      </c>
      <c r="J612" s="26" t="s">
        <v>3542</v>
      </c>
      <c r="K612" s="26" t="s">
        <v>3543</v>
      </c>
      <c r="L612" s="26" t="s">
        <v>741</v>
      </c>
      <c r="M612" s="25" t="s">
        <v>3544</v>
      </c>
      <c r="P612" s="26" t="s">
        <v>3542</v>
      </c>
      <c r="Q612" s="13" t="s">
        <v>3545</v>
      </c>
      <c r="R612" s="15">
        <v>-43.922079104398399</v>
      </c>
      <c r="T612" s="11">
        <v>-19.845743732094199</v>
      </c>
      <c r="U612" s="11">
        <v>-43.922079104398399</v>
      </c>
    </row>
    <row r="613" spans="1:21">
      <c r="A613" s="24" t="s">
        <v>3546</v>
      </c>
      <c r="G613" s="24" t="s">
        <v>3547</v>
      </c>
      <c r="H613" s="25">
        <v>731</v>
      </c>
      <c r="I613" s="26" t="s">
        <v>3548</v>
      </c>
      <c r="J613" s="26" t="s">
        <v>3549</v>
      </c>
      <c r="K613" s="26" t="s">
        <v>3550</v>
      </c>
      <c r="L613" s="26" t="s">
        <v>678</v>
      </c>
      <c r="M613" s="25" t="s">
        <v>679</v>
      </c>
      <c r="P613" s="26" t="s">
        <v>3549</v>
      </c>
      <c r="Q613" s="13" t="s">
        <v>3551</v>
      </c>
      <c r="R613" s="27">
        <v>-49.280750000919802</v>
      </c>
      <c r="T613" s="11">
        <v>-25.436835349903301</v>
      </c>
      <c r="U613" s="27">
        <v>-49.280750000919802</v>
      </c>
    </row>
    <row r="614" spans="1:21">
      <c r="A614" s="24" t="s">
        <v>3552</v>
      </c>
      <c r="G614" s="24" t="s">
        <v>3553</v>
      </c>
      <c r="H614" s="25">
        <v>283</v>
      </c>
      <c r="I614" s="26" t="s">
        <v>3439</v>
      </c>
      <c r="J614" s="26" t="s">
        <v>3554</v>
      </c>
      <c r="K614" s="26" t="s">
        <v>3555</v>
      </c>
      <c r="L614" s="26" t="s">
        <v>3556</v>
      </c>
      <c r="M614" s="25" t="s">
        <v>68</v>
      </c>
      <c r="P614" s="26" t="s">
        <v>3554</v>
      </c>
      <c r="Q614" s="13" t="s">
        <v>3557</v>
      </c>
      <c r="R614" s="11">
        <v>-43.555486491733298</v>
      </c>
      <c r="T614" s="11">
        <v>-22.702348488145802</v>
      </c>
      <c r="U614" s="11">
        <v>-43.555486491733298</v>
      </c>
    </row>
    <row r="615" spans="1:21">
      <c r="A615" s="28"/>
      <c r="G615" s="28"/>
      <c r="H615" s="29"/>
      <c r="I615" s="28"/>
      <c r="J615" s="28"/>
      <c r="K615" s="28"/>
      <c r="L615" s="21"/>
      <c r="M615" s="22"/>
      <c r="P615" s="28"/>
      <c r="T615" s="13"/>
    </row>
    <row r="616" spans="1:21">
      <c r="A616" s="28" t="s">
        <v>3558</v>
      </c>
      <c r="G616" s="28" t="s">
        <v>3559</v>
      </c>
      <c r="H616" s="30" t="s">
        <v>129</v>
      </c>
      <c r="I616" s="28" t="s">
        <v>3559</v>
      </c>
      <c r="J616" s="28" t="s">
        <v>3560</v>
      </c>
      <c r="K616" s="28" t="s">
        <v>3561</v>
      </c>
      <c r="L616" s="24" t="s">
        <v>28</v>
      </c>
      <c r="M616" s="25" t="s">
        <v>3562</v>
      </c>
      <c r="P616" s="28" t="s">
        <v>3560</v>
      </c>
      <c r="Q616" s="13" t="s">
        <v>3563</v>
      </c>
      <c r="R616" s="11">
        <v>-34.8854569906268</v>
      </c>
      <c r="T616" s="13" t="s">
        <v>3563</v>
      </c>
      <c r="U616" s="11">
        <v>-34.8854569906268</v>
      </c>
    </row>
    <row r="617" spans="1:21">
      <c r="A617" s="28" t="s">
        <v>3564</v>
      </c>
      <c r="G617" s="28" t="s">
        <v>3565</v>
      </c>
      <c r="H617" s="24">
        <v>37</v>
      </c>
      <c r="I617" s="28" t="s">
        <v>3566</v>
      </c>
      <c r="J617" s="28" t="s">
        <v>3567</v>
      </c>
      <c r="K617" s="28" t="s">
        <v>3568</v>
      </c>
      <c r="L617" s="28" t="s">
        <v>511</v>
      </c>
      <c r="M617" s="30" t="s">
        <v>281</v>
      </c>
      <c r="P617" s="28" t="s">
        <v>3567</v>
      </c>
      <c r="Q617" s="13" t="s">
        <v>3569</v>
      </c>
      <c r="R617" s="11">
        <v>-44.257842644785697</v>
      </c>
      <c r="T617" s="13" t="s">
        <v>3569</v>
      </c>
      <c r="U617" s="11">
        <v>-44.257842644785697</v>
      </c>
    </row>
    <row r="618" spans="1:21">
      <c r="A618" s="28" t="s">
        <v>3570</v>
      </c>
      <c r="G618" s="28" t="s">
        <v>3571</v>
      </c>
      <c r="H618" s="30">
        <v>6</v>
      </c>
      <c r="I618" s="23" t="s">
        <v>3572</v>
      </c>
      <c r="J618" s="28" t="s">
        <v>3573</v>
      </c>
      <c r="K618" s="24" t="s">
        <v>3439</v>
      </c>
      <c r="L618" s="23" t="s">
        <v>3574</v>
      </c>
      <c r="M618" s="25" t="s">
        <v>147</v>
      </c>
      <c r="P618" s="28" t="s">
        <v>3573</v>
      </c>
      <c r="Q618" s="13" t="s">
        <v>3575</v>
      </c>
      <c r="R618" s="11">
        <v>-35.414487015514702</v>
      </c>
      <c r="T618" s="13" t="s">
        <v>3575</v>
      </c>
      <c r="U618" s="11">
        <v>-35.414487015514702</v>
      </c>
    </row>
    <row r="619" spans="1:21">
      <c r="A619" s="28" t="s">
        <v>3576</v>
      </c>
      <c r="G619" s="28" t="s">
        <v>3577</v>
      </c>
      <c r="H619" s="30">
        <v>324</v>
      </c>
      <c r="I619" s="28" t="s">
        <v>3578</v>
      </c>
      <c r="J619" s="24" t="s">
        <v>3579</v>
      </c>
      <c r="K619" s="28" t="s">
        <v>3580</v>
      </c>
      <c r="L619" s="28" t="s">
        <v>755</v>
      </c>
      <c r="M619" s="30" t="s">
        <v>86</v>
      </c>
      <c r="P619" s="24" t="s">
        <v>3579</v>
      </c>
      <c r="Q619" s="13" t="s">
        <v>3581</v>
      </c>
      <c r="R619" s="11">
        <v>-38.477165649543998</v>
      </c>
      <c r="T619" s="13" t="s">
        <v>3581</v>
      </c>
      <c r="U619" s="11">
        <v>-38.477165649543998</v>
      </c>
    </row>
    <row r="620" spans="1:21">
      <c r="A620" s="28" t="s">
        <v>3582</v>
      </c>
      <c r="G620" s="28" t="s">
        <v>3583</v>
      </c>
      <c r="H620" s="30">
        <v>599</v>
      </c>
      <c r="I620" s="28" t="s">
        <v>3582</v>
      </c>
      <c r="J620" s="28" t="s">
        <v>3584</v>
      </c>
      <c r="K620" s="31" t="s">
        <v>26</v>
      </c>
      <c r="L620" s="28" t="s">
        <v>3585</v>
      </c>
      <c r="M620" s="30" t="s">
        <v>215</v>
      </c>
      <c r="P620" s="28" t="s">
        <v>3584</v>
      </c>
      <c r="Q620" s="13" t="s">
        <v>3586</v>
      </c>
      <c r="R620" s="11">
        <v>-35.1151639628726</v>
      </c>
      <c r="T620" s="13" t="s">
        <v>3586</v>
      </c>
      <c r="U620" s="11">
        <v>-35.1151639628726</v>
      </c>
    </row>
    <row r="621" spans="1:21">
      <c r="A621" s="28" t="s">
        <v>3587</v>
      </c>
      <c r="G621" s="28" t="s">
        <v>3588</v>
      </c>
      <c r="H621" s="30">
        <v>7796</v>
      </c>
      <c r="I621" s="28" t="s">
        <v>3589</v>
      </c>
      <c r="J621" s="28" t="s">
        <v>3590</v>
      </c>
      <c r="K621" s="28" t="s">
        <v>3591</v>
      </c>
      <c r="L621" s="28" t="s">
        <v>343</v>
      </c>
      <c r="M621" s="30" t="s">
        <v>215</v>
      </c>
      <c r="P621" s="28" t="s">
        <v>3590</v>
      </c>
      <c r="Q621" s="13" t="s">
        <v>3592</v>
      </c>
      <c r="R621" s="11">
        <v>-35.218242212398302</v>
      </c>
      <c r="T621" s="13" t="s">
        <v>3592</v>
      </c>
      <c r="U621" s="11">
        <v>-35.218242212398302</v>
      </c>
    </row>
    <row r="622" spans="1:21">
      <c r="A622" s="28" t="s">
        <v>3593</v>
      </c>
      <c r="G622" s="28" t="s">
        <v>3594</v>
      </c>
      <c r="H622" s="30">
        <v>2135</v>
      </c>
      <c r="I622" s="28" t="s">
        <v>3595</v>
      </c>
      <c r="J622" s="28" t="s">
        <v>3596</v>
      </c>
      <c r="K622" s="28" t="s">
        <v>3597</v>
      </c>
      <c r="L622" s="28" t="s">
        <v>3598</v>
      </c>
      <c r="M622" s="30" t="s">
        <v>86</v>
      </c>
      <c r="P622" s="28" t="s">
        <v>3596</v>
      </c>
      <c r="Q622" s="13" t="s">
        <v>3599</v>
      </c>
      <c r="R622" s="11">
        <v>-39.280576804763598</v>
      </c>
      <c r="T622" s="13" t="s">
        <v>3599</v>
      </c>
      <c r="U622" s="11">
        <v>-39.280576804763598</v>
      </c>
    </row>
    <row r="623" spans="1:21">
      <c r="A623" s="16" t="s">
        <v>3600</v>
      </c>
      <c r="G623" s="16" t="s">
        <v>3601</v>
      </c>
      <c r="H623" s="11">
        <v>340</v>
      </c>
      <c r="I623" s="16" t="s">
        <v>3602</v>
      </c>
      <c r="J623" s="16" t="s">
        <v>3603</v>
      </c>
      <c r="K623" s="16" t="s">
        <v>3602</v>
      </c>
      <c r="L623" s="16" t="s">
        <v>3604</v>
      </c>
      <c r="M623" s="11" t="s">
        <v>86</v>
      </c>
      <c r="P623" s="16" t="s">
        <v>3603</v>
      </c>
      <c r="Q623" s="13" t="s">
        <v>3605</v>
      </c>
      <c r="R623" s="11">
        <v>-39.519277219113299</v>
      </c>
      <c r="T623" s="13" t="s">
        <v>3605</v>
      </c>
      <c r="U623" s="11">
        <v>-39.519277219113299</v>
      </c>
    </row>
    <row r="624" spans="1:21">
      <c r="A624" s="16" t="s">
        <v>3606</v>
      </c>
      <c r="G624" s="16" t="s">
        <v>3607</v>
      </c>
      <c r="H624" s="11">
        <v>750</v>
      </c>
      <c r="I624" s="16" t="s">
        <v>3608</v>
      </c>
      <c r="J624" s="16" t="s">
        <v>3609</v>
      </c>
      <c r="K624" s="16" t="s">
        <v>3610</v>
      </c>
      <c r="L624" s="16" t="s">
        <v>3472</v>
      </c>
      <c r="M624" s="11" t="s">
        <v>391</v>
      </c>
      <c r="P624" s="16" t="s">
        <v>3609</v>
      </c>
      <c r="Q624" s="13" t="s">
        <v>3611</v>
      </c>
      <c r="R624" s="11">
        <v>-42.796594446239901</v>
      </c>
      <c r="T624" s="13" t="s">
        <v>3611</v>
      </c>
      <c r="U624" s="11">
        <v>-42.796594446239901</v>
      </c>
    </row>
    <row r="625" spans="1:21">
      <c r="A625" s="16" t="s">
        <v>3612</v>
      </c>
      <c r="G625" s="16" t="s">
        <v>3613</v>
      </c>
      <c r="H625" s="11">
        <v>3400</v>
      </c>
      <c r="I625" s="16" t="s">
        <v>3614</v>
      </c>
      <c r="J625" s="16" t="s">
        <v>3615</v>
      </c>
      <c r="K625" s="16" t="s">
        <v>3616</v>
      </c>
      <c r="L625" s="16" t="s">
        <v>3617</v>
      </c>
      <c r="M625" s="11" t="s">
        <v>29</v>
      </c>
      <c r="P625" s="16" t="s">
        <v>3615</v>
      </c>
      <c r="Q625" s="13" t="s">
        <v>3618</v>
      </c>
      <c r="R625" s="11">
        <v>-47.266171832399301</v>
      </c>
      <c r="T625" s="13" t="s">
        <v>3618</v>
      </c>
      <c r="U625" s="11">
        <v>-47.266171832399301</v>
      </c>
    </row>
    <row r="626" spans="1:21">
      <c r="A626" s="16" t="s">
        <v>3619</v>
      </c>
      <c r="G626" s="16" t="s">
        <v>3620</v>
      </c>
      <c r="H626" s="16" t="s">
        <v>3621</v>
      </c>
      <c r="I626" s="16" t="s">
        <v>3622</v>
      </c>
      <c r="J626" s="16" t="s">
        <v>3623</v>
      </c>
      <c r="K626" s="16" t="s">
        <v>762</v>
      </c>
      <c r="L626" s="16" t="s">
        <v>3624</v>
      </c>
      <c r="M626" s="11" t="s">
        <v>535</v>
      </c>
      <c r="P626" s="16" t="s">
        <v>3623</v>
      </c>
      <c r="Q626" s="13" t="s">
        <v>3625</v>
      </c>
      <c r="R626" s="11">
        <v>-51.9690874456833</v>
      </c>
      <c r="T626" s="13" t="s">
        <v>3625</v>
      </c>
      <c r="U626" s="11">
        <v>-51.9690874456833</v>
      </c>
    </row>
    <row r="627" spans="1:21">
      <c r="A627" s="16"/>
      <c r="G627" s="16"/>
      <c r="I627" s="16"/>
      <c r="J627" s="16"/>
      <c r="K627" s="16"/>
      <c r="L627" s="16"/>
      <c r="P627" s="16"/>
      <c r="T627" s="13"/>
    </row>
    <row r="628" spans="1:21" s="37" customFormat="1">
      <c r="A628" s="38"/>
      <c r="B628" s="35"/>
      <c r="C628" s="35"/>
      <c r="D628" s="35"/>
      <c r="E628" s="35"/>
      <c r="F628" s="35"/>
      <c r="G628" s="38"/>
      <c r="H628" s="35"/>
      <c r="I628" s="38"/>
      <c r="J628" s="38"/>
      <c r="K628" s="38"/>
      <c r="L628" s="38"/>
      <c r="M628" s="35"/>
      <c r="N628" s="35"/>
      <c r="O628" s="35"/>
      <c r="P628" s="38"/>
      <c r="Q628" s="36"/>
      <c r="R628" s="35"/>
      <c r="S628" s="35"/>
      <c r="T628" s="36"/>
      <c r="U628" s="35"/>
    </row>
    <row r="629" spans="1:21" s="37" customFormat="1">
      <c r="A629" s="38" t="s">
        <v>3626</v>
      </c>
      <c r="B629" s="35"/>
      <c r="C629" s="35"/>
      <c r="D629" s="35"/>
      <c r="E629" s="35"/>
      <c r="F629" s="35"/>
      <c r="G629" s="38" t="s">
        <v>3627</v>
      </c>
      <c r="H629" s="35">
        <v>109</v>
      </c>
      <c r="I629" s="38" t="s">
        <v>3628</v>
      </c>
      <c r="J629" s="38" t="s">
        <v>3629</v>
      </c>
      <c r="K629" s="38" t="s">
        <v>2068</v>
      </c>
      <c r="L629" s="35" t="s">
        <v>3630</v>
      </c>
      <c r="M629" s="35" t="s">
        <v>68</v>
      </c>
      <c r="N629" s="35"/>
      <c r="O629" s="35"/>
      <c r="P629" s="38" t="s">
        <v>3629</v>
      </c>
      <c r="Q629" s="36" t="s">
        <v>3631</v>
      </c>
      <c r="R629" s="35">
        <v>-43.465013475473597</v>
      </c>
      <c r="S629" s="35"/>
      <c r="T629" s="35">
        <v>-22.8739418832828</v>
      </c>
      <c r="U629" s="35">
        <v>-43.465013475473597</v>
      </c>
    </row>
    <row r="630" spans="1:21">
      <c r="I630" s="5"/>
      <c r="J630" s="5"/>
      <c r="K630" s="5"/>
      <c r="P630" s="5"/>
      <c r="Q630" s="11"/>
    </row>
    <row r="631" spans="1:21">
      <c r="A631" s="5" t="s">
        <v>3632</v>
      </c>
      <c r="G631" s="5" t="s">
        <v>3633</v>
      </c>
      <c r="H631" s="5">
        <v>614</v>
      </c>
      <c r="I631" s="5" t="s">
        <v>3634</v>
      </c>
      <c r="J631" s="5" t="s">
        <v>3635</v>
      </c>
      <c r="K631" s="5" t="s">
        <v>3636</v>
      </c>
      <c r="L631" s="11" t="s">
        <v>755</v>
      </c>
      <c r="M631" s="11" t="s">
        <v>86</v>
      </c>
      <c r="P631" s="5" t="s">
        <v>3635</v>
      </c>
      <c r="Q631" s="13" t="s">
        <v>3637</v>
      </c>
      <c r="R631" s="11">
        <v>-38.403796204321303</v>
      </c>
      <c r="T631" s="13" t="s">
        <v>3637</v>
      </c>
      <c r="U631" s="11">
        <v>-38.403796204321303</v>
      </c>
    </row>
    <row r="632" spans="1:21">
      <c r="A632" s="5" t="s">
        <v>3638</v>
      </c>
      <c r="G632" s="5" t="s">
        <v>3639</v>
      </c>
      <c r="H632" s="11">
        <v>312</v>
      </c>
      <c r="I632" s="11" t="s">
        <v>26</v>
      </c>
      <c r="J632" s="5" t="s">
        <v>3640</v>
      </c>
      <c r="K632" s="11" t="s">
        <v>39</v>
      </c>
      <c r="L632" s="5" t="s">
        <v>3641</v>
      </c>
      <c r="M632" s="11" t="s">
        <v>391</v>
      </c>
      <c r="P632" s="5" t="s">
        <v>3640</v>
      </c>
      <c r="Q632" s="13" t="s">
        <v>3642</v>
      </c>
      <c r="R632" s="11">
        <v>-41.093609402415701</v>
      </c>
      <c r="T632" s="11">
        <v>-5.3136766672603502</v>
      </c>
      <c r="U632" s="11">
        <v>-41.093609402415701</v>
      </c>
    </row>
    <row r="633" spans="1:21" ht="17.45">
      <c r="A633" s="5" t="s">
        <v>3643</v>
      </c>
      <c r="G633" s="5" t="s">
        <v>3644</v>
      </c>
      <c r="H633" s="11">
        <v>33</v>
      </c>
      <c r="I633" s="5" t="s">
        <v>3645</v>
      </c>
      <c r="J633" s="5" t="s">
        <v>3646</v>
      </c>
      <c r="K633" s="11" t="s">
        <v>3647</v>
      </c>
      <c r="L633" s="32" t="s">
        <v>3648</v>
      </c>
      <c r="M633" s="11" t="s">
        <v>29</v>
      </c>
      <c r="P633" s="5" t="s">
        <v>3646</v>
      </c>
      <c r="Q633" s="13" t="s">
        <v>3649</v>
      </c>
      <c r="R633" s="11">
        <v>-35.448540299999998</v>
      </c>
      <c r="T633" s="11">
        <v>-7.5522884635284004</v>
      </c>
      <c r="U633" s="11">
        <v>-35.448540299999998</v>
      </c>
    </row>
    <row r="634" spans="1:21">
      <c r="A634" s="5" t="s">
        <v>3650</v>
      </c>
      <c r="G634" s="5" t="s">
        <v>3651</v>
      </c>
      <c r="H634" s="11">
        <v>184</v>
      </c>
      <c r="I634" s="5" t="s">
        <v>3652</v>
      </c>
      <c r="J634" s="5" t="s">
        <v>3653</v>
      </c>
      <c r="K634" s="5" t="s">
        <v>3654</v>
      </c>
      <c r="L634" s="33" t="s">
        <v>3655</v>
      </c>
      <c r="M634" s="11" t="s">
        <v>404</v>
      </c>
      <c r="P634" s="5" t="s">
        <v>3653</v>
      </c>
      <c r="Q634" s="13" t="s">
        <v>3656</v>
      </c>
      <c r="R634" s="11">
        <v>-42.066037961915498</v>
      </c>
      <c r="T634" s="13" t="s">
        <v>3656</v>
      </c>
      <c r="U634" s="11">
        <v>-42.066037961915498</v>
      </c>
    </row>
    <row r="635" spans="1:21">
      <c r="A635" s="5"/>
      <c r="G635" s="5"/>
      <c r="I635" s="5"/>
      <c r="J635" s="5"/>
      <c r="L635" s="5"/>
      <c r="P635" s="5"/>
    </row>
    <row r="636" spans="1:21">
      <c r="A636" s="5" t="s">
        <v>3657</v>
      </c>
      <c r="G636" s="5" t="s">
        <v>3658</v>
      </c>
      <c r="H636" s="11">
        <v>390</v>
      </c>
      <c r="I636" s="5" t="s">
        <v>3659</v>
      </c>
      <c r="J636" s="5" t="s">
        <v>3660</v>
      </c>
      <c r="K636" s="5" t="s">
        <v>3661</v>
      </c>
      <c r="L636" s="11" t="s">
        <v>3662</v>
      </c>
      <c r="M636" s="11" t="s">
        <v>78</v>
      </c>
      <c r="P636" s="5" t="s">
        <v>3660</v>
      </c>
      <c r="Q636" s="13" t="s">
        <v>3663</v>
      </c>
      <c r="R636" s="11">
        <v>-48.113226432865702</v>
      </c>
      <c r="T636" s="11">
        <v>-24.7298146637273</v>
      </c>
      <c r="U636" s="11">
        <v>-48.113226432865702</v>
      </c>
    </row>
    <row r="637" spans="1:21">
      <c r="A637" t="s">
        <v>3664</v>
      </c>
      <c r="G637" s="34" t="s">
        <v>3665</v>
      </c>
      <c r="H637" s="11">
        <v>20</v>
      </c>
      <c r="I637" s="11" t="s">
        <v>3666</v>
      </c>
      <c r="J637" t="s">
        <v>3667</v>
      </c>
      <c r="K637" s="34" t="s">
        <v>3668</v>
      </c>
      <c r="L637" t="s">
        <v>3669</v>
      </c>
      <c r="M637" s="11" t="s">
        <v>68</v>
      </c>
      <c r="P637" t="s">
        <v>3667</v>
      </c>
      <c r="Q637" s="13" t="s">
        <v>3670</v>
      </c>
      <c r="R637" s="11">
        <v>-42.965119546429001</v>
      </c>
      <c r="T637" s="11">
        <v>-22.4130447877568</v>
      </c>
      <c r="U637" s="11">
        <v>-42.965119546429001</v>
      </c>
    </row>
    <row r="638" spans="1:21">
      <c r="A638" s="5" t="s">
        <v>3671</v>
      </c>
      <c r="G638" s="5" t="s">
        <v>3672</v>
      </c>
      <c r="H638" s="11">
        <v>2255</v>
      </c>
      <c r="I638" s="5" t="s">
        <v>3673</v>
      </c>
      <c r="J638" s="5" t="s">
        <v>3674</v>
      </c>
      <c r="K638" s="5" t="s">
        <v>3675</v>
      </c>
      <c r="L638" s="11" t="s">
        <v>77</v>
      </c>
      <c r="M638" s="11" t="s">
        <v>78</v>
      </c>
      <c r="P638" s="5" t="s">
        <v>3674</v>
      </c>
      <c r="Q638" s="13" t="s">
        <v>3676</v>
      </c>
      <c r="R638" s="11">
        <v>-46.677630204063803</v>
      </c>
      <c r="T638" s="11">
        <v>-23.674713104618199</v>
      </c>
      <c r="U638" s="11">
        <v>-46.677630204063803</v>
      </c>
    </row>
    <row r="639" spans="1:21">
      <c r="A639" s="5" t="s">
        <v>3677</v>
      </c>
      <c r="G639" s="5" t="s">
        <v>3678</v>
      </c>
      <c r="H639" s="11">
        <v>1700</v>
      </c>
      <c r="I639" s="5" t="s">
        <v>3679</v>
      </c>
      <c r="J639" s="5" t="s">
        <v>3680</v>
      </c>
      <c r="K639" s="5" t="s">
        <v>3681</v>
      </c>
      <c r="L639" s="11" t="s">
        <v>3682</v>
      </c>
      <c r="M639" s="11" t="s">
        <v>68</v>
      </c>
      <c r="P639" s="5" t="s">
        <v>3680</v>
      </c>
      <c r="Q639" s="13" t="s">
        <v>3683</v>
      </c>
      <c r="R639" s="11">
        <v>-42.036251071251598</v>
      </c>
      <c r="T639" s="11">
        <v>-22.8738595595213</v>
      </c>
      <c r="U639" s="11">
        <v>-42.036251071251598</v>
      </c>
    </row>
    <row r="640" spans="1:21">
      <c r="A640" s="5" t="s">
        <v>3684</v>
      </c>
      <c r="G640" s="5" t="s">
        <v>3685</v>
      </c>
      <c r="H640" s="11">
        <v>25</v>
      </c>
      <c r="J640" s="5" t="s">
        <v>3686</v>
      </c>
      <c r="K640" s="5" t="s">
        <v>3439</v>
      </c>
      <c r="L640" s="11" t="s">
        <v>3687</v>
      </c>
      <c r="M640" s="11" t="s">
        <v>29</v>
      </c>
      <c r="P640" s="5" t="s">
        <v>3686</v>
      </c>
      <c r="Q640" s="13" t="s">
        <v>3688</v>
      </c>
      <c r="R640" s="11">
        <v>-36.8462485886688</v>
      </c>
      <c r="T640" s="11">
        <v>-9.0403983033997903</v>
      </c>
      <c r="U640" s="11">
        <v>-36.8462485886688</v>
      </c>
    </row>
    <row r="641" spans="1:21">
      <c r="A641" s="5" t="s">
        <v>3689</v>
      </c>
      <c r="G641" s="5" t="s">
        <v>3690</v>
      </c>
      <c r="H641" s="11">
        <v>1012</v>
      </c>
      <c r="I641" s="5" t="s">
        <v>3659</v>
      </c>
      <c r="J641" s="5" t="s">
        <v>3691</v>
      </c>
      <c r="K641" s="11" t="s">
        <v>3439</v>
      </c>
      <c r="L641" s="11" t="s">
        <v>3692</v>
      </c>
      <c r="M641" s="11" t="s">
        <v>86</v>
      </c>
      <c r="P641" s="5" t="s">
        <v>3691</v>
      </c>
      <c r="Q641" s="13" t="s">
        <v>3693</v>
      </c>
      <c r="R641" s="11">
        <v>-40.436300474838298</v>
      </c>
      <c r="T641" s="11">
        <v>-13.440092537561201</v>
      </c>
      <c r="U641" s="11">
        <v>-40.436300474838298</v>
      </c>
    </row>
    <row r="642" spans="1:21">
      <c r="A642" s="5" t="s">
        <v>3694</v>
      </c>
      <c r="G642" s="5" t="s">
        <v>3695</v>
      </c>
      <c r="H642" s="11">
        <v>6161</v>
      </c>
      <c r="I642" s="11" t="s">
        <v>3696</v>
      </c>
      <c r="J642" s="5" t="s">
        <v>3697</v>
      </c>
      <c r="K642" s="33" t="s">
        <v>3698</v>
      </c>
      <c r="L642" s="11" t="s">
        <v>2007</v>
      </c>
      <c r="M642" s="11" t="s">
        <v>535</v>
      </c>
      <c r="P642" s="5" t="s">
        <v>3697</v>
      </c>
      <c r="Q642" s="13" t="s">
        <v>3699</v>
      </c>
      <c r="R642" s="11">
        <v>-52.365855119119502</v>
      </c>
      <c r="T642" s="11">
        <v>-31.740843074113801</v>
      </c>
      <c r="U642" s="11">
        <v>-52.365855119119502</v>
      </c>
    </row>
    <row r="643" spans="1:21">
      <c r="A643" s="5" t="s">
        <v>3700</v>
      </c>
      <c r="G643" s="5" t="s">
        <v>3701</v>
      </c>
      <c r="H643" s="11">
        <v>89</v>
      </c>
      <c r="I643" s="5" t="s">
        <v>3702</v>
      </c>
      <c r="J643" s="5" t="s">
        <v>3703</v>
      </c>
      <c r="K643" s="5" t="s">
        <v>3555</v>
      </c>
      <c r="L643" s="5" t="s">
        <v>3704</v>
      </c>
      <c r="M643" s="11" t="s">
        <v>78</v>
      </c>
      <c r="P643" s="5" t="s">
        <v>3703</v>
      </c>
      <c r="Q643" s="13" t="s">
        <v>3705</v>
      </c>
      <c r="R643" s="11">
        <v>-46.850236619626003</v>
      </c>
      <c r="T643" s="11">
        <v>-23.715498118924401</v>
      </c>
      <c r="U643" s="11">
        <v>-46.850236619626003</v>
      </c>
    </row>
    <row r="644" spans="1:21">
      <c r="A644" s="5" t="s">
        <v>3706</v>
      </c>
      <c r="G644" s="5" t="s">
        <v>3707</v>
      </c>
      <c r="H644" s="16">
        <v>12650</v>
      </c>
      <c r="I644" s="5" t="s">
        <v>3708</v>
      </c>
      <c r="J644" s="5" t="s">
        <v>3709</v>
      </c>
      <c r="K644" s="5" t="s">
        <v>3710</v>
      </c>
      <c r="L644" s="11" t="s">
        <v>146</v>
      </c>
      <c r="M644" s="11" t="s">
        <v>147</v>
      </c>
      <c r="P644" s="5" t="s">
        <v>3709</v>
      </c>
      <c r="Q644" s="13" t="s">
        <v>3711</v>
      </c>
      <c r="R644" s="11">
        <v>-35.775135246937303</v>
      </c>
      <c r="T644" s="11">
        <v>-9.5664200534368202</v>
      </c>
      <c r="U644" s="11">
        <v>-35.775135246937303</v>
      </c>
    </row>
    <row r="645" spans="1:21">
      <c r="A645" s="5" t="s">
        <v>3712</v>
      </c>
      <c r="G645" s="5" t="s">
        <v>3713</v>
      </c>
      <c r="H645" s="11" t="s">
        <v>129</v>
      </c>
      <c r="I645" s="5" t="s">
        <v>3634</v>
      </c>
      <c r="J645" s="5" t="s">
        <v>3714</v>
      </c>
      <c r="K645" s="5" t="s">
        <v>3715</v>
      </c>
      <c r="L645" s="11" t="s">
        <v>146</v>
      </c>
      <c r="M645" s="11" t="s">
        <v>147</v>
      </c>
      <c r="P645" s="5" t="s">
        <v>3714</v>
      </c>
      <c r="Q645" s="13" t="s">
        <v>3716</v>
      </c>
      <c r="R645" s="11">
        <v>-35.706488848787302</v>
      </c>
      <c r="T645" s="11">
        <v>-9.6234514011856298</v>
      </c>
      <c r="U645" s="11">
        <v>-35.706488848787302</v>
      </c>
    </row>
    <row r="646" spans="1:21">
      <c r="A646" s="5" t="s">
        <v>3717</v>
      </c>
      <c r="G646" s="5" t="s">
        <v>3718</v>
      </c>
      <c r="H646" s="5">
        <v>359</v>
      </c>
      <c r="I646" s="5" t="s">
        <v>3634</v>
      </c>
      <c r="J646" s="5" t="s">
        <v>3719</v>
      </c>
      <c r="K646" s="5" t="s">
        <v>3720</v>
      </c>
      <c r="L646" s="5" t="s">
        <v>1626</v>
      </c>
      <c r="M646" s="11" t="s">
        <v>147</v>
      </c>
      <c r="P646" s="5" t="s">
        <v>3719</v>
      </c>
      <c r="Q646" s="13" t="s">
        <v>3721</v>
      </c>
      <c r="R646" s="11">
        <v>-36.635200630934101</v>
      </c>
      <c r="T646" s="11">
        <v>-9.7472027738000708</v>
      </c>
      <c r="U646" s="11">
        <v>-36.635200630934101</v>
      </c>
    </row>
    <row r="647" spans="1:21">
      <c r="A647" s="5" t="s">
        <v>3722</v>
      </c>
      <c r="G647" s="5" t="s">
        <v>3723</v>
      </c>
      <c r="H647" s="11">
        <v>91</v>
      </c>
      <c r="J647" s="5" t="s">
        <v>3724</v>
      </c>
      <c r="L647" s="5" t="s">
        <v>3725</v>
      </c>
      <c r="M647" s="11" t="s">
        <v>147</v>
      </c>
      <c r="P647" s="5" t="s">
        <v>3724</v>
      </c>
      <c r="Q647" s="13" t="s">
        <v>3726</v>
      </c>
      <c r="R647" s="11">
        <v>-36.216481504607998</v>
      </c>
      <c r="T647" s="11">
        <v>-9.6417381585972901</v>
      </c>
      <c r="U647" s="11">
        <v>-36.216481504607998</v>
      </c>
    </row>
    <row r="648" spans="1:21">
      <c r="A648" s="5" t="s">
        <v>3727</v>
      </c>
      <c r="G648" s="5" t="s">
        <v>3728</v>
      </c>
      <c r="H648" s="11">
        <v>298</v>
      </c>
      <c r="I648" s="5" t="s">
        <v>3729</v>
      </c>
      <c r="J648" s="5" t="s">
        <v>3730</v>
      </c>
      <c r="K648" s="5" t="s">
        <v>3731</v>
      </c>
      <c r="L648" s="11" t="s">
        <v>3732</v>
      </c>
      <c r="M648" s="11" t="s">
        <v>404</v>
      </c>
      <c r="P648" s="5" t="s">
        <v>3730</v>
      </c>
      <c r="Q648" s="13" t="s">
        <v>3733</v>
      </c>
      <c r="R648" s="11">
        <v>-46.518251587425702</v>
      </c>
      <c r="T648" s="11">
        <v>-18.578265928227701</v>
      </c>
      <c r="U648" s="11">
        <v>-46.518251587425702</v>
      </c>
    </row>
    <row r="649" spans="1:21">
      <c r="A649" s="5" t="s">
        <v>3734</v>
      </c>
      <c r="G649" s="5" t="s">
        <v>3735</v>
      </c>
      <c r="H649" s="11">
        <v>2072</v>
      </c>
      <c r="I649" s="5" t="s">
        <v>3634</v>
      </c>
      <c r="J649" s="5" t="s">
        <v>3736</v>
      </c>
      <c r="K649" s="11" t="s">
        <v>3555</v>
      </c>
      <c r="L649" s="11" t="s">
        <v>2007</v>
      </c>
      <c r="M649" s="11" t="s">
        <v>535</v>
      </c>
      <c r="P649" s="5" t="s">
        <v>3736</v>
      </c>
      <c r="Q649" s="13" t="s">
        <v>3737</v>
      </c>
      <c r="R649" s="11">
        <v>-52.3435324463101</v>
      </c>
      <c r="T649" s="11">
        <v>-31.730762097848501</v>
      </c>
      <c r="U649" s="11">
        <v>-52.3435324463101</v>
      </c>
    </row>
    <row r="650" spans="1:21">
      <c r="A650" s="5"/>
      <c r="G650" s="5"/>
      <c r="I650" s="5"/>
      <c r="J650" s="5"/>
      <c r="L650" s="5"/>
      <c r="M650" s="5"/>
      <c r="P650" s="5"/>
    </row>
    <row r="651" spans="1:21">
      <c r="A651" s="5" t="s">
        <v>3738</v>
      </c>
      <c r="G651" s="5" t="s">
        <v>3739</v>
      </c>
      <c r="H651" s="11">
        <v>606</v>
      </c>
      <c r="J651" s="5" t="s">
        <v>3740</v>
      </c>
      <c r="K651" s="11" t="s">
        <v>3555</v>
      </c>
      <c r="L651" s="11" t="s">
        <v>3741</v>
      </c>
      <c r="M651" s="11" t="s">
        <v>29</v>
      </c>
      <c r="P651" s="5" t="s">
        <v>3740</v>
      </c>
      <c r="Q651" s="13" t="s">
        <v>3742</v>
      </c>
      <c r="R651" s="11">
        <v>-37.644975019970701</v>
      </c>
      <c r="T651" s="11">
        <v>-8.0891810931714208</v>
      </c>
      <c r="U651" s="11">
        <v>-37.644975019970701</v>
      </c>
    </row>
    <row r="652" spans="1:21">
      <c r="A652" s="5"/>
      <c r="G652" s="5"/>
      <c r="J652" s="5"/>
      <c r="P652" s="5"/>
    </row>
    <row r="653" spans="1:21">
      <c r="A653" s="5" t="s">
        <v>3743</v>
      </c>
      <c r="G653" s="5" t="s">
        <v>3744</v>
      </c>
      <c r="H653" s="11">
        <v>45</v>
      </c>
      <c r="J653" s="5" t="s">
        <v>3745</v>
      </c>
      <c r="K653" s="11" t="s">
        <v>3555</v>
      </c>
      <c r="L653" s="5" t="s">
        <v>3746</v>
      </c>
      <c r="M653" s="11" t="s">
        <v>281</v>
      </c>
      <c r="P653" s="5" t="s">
        <v>3745</v>
      </c>
      <c r="Q653" s="13" t="s">
        <v>3747</v>
      </c>
      <c r="R653" s="11">
        <v>-42.204766889321697</v>
      </c>
      <c r="T653" s="11">
        <v>-3.3975902267337901</v>
      </c>
      <c r="U653" s="11">
        <v>-42.204766889321697</v>
      </c>
    </row>
    <row r="654" spans="1:21">
      <c r="A654" s="5" t="s">
        <v>3748</v>
      </c>
      <c r="G654" s="5" t="s">
        <v>3749</v>
      </c>
      <c r="H654" s="11">
        <v>900</v>
      </c>
      <c r="I654" s="5" t="s">
        <v>3750</v>
      </c>
      <c r="J654" s="5" t="s">
        <v>3751</v>
      </c>
      <c r="K654" s="5" t="s">
        <v>3752</v>
      </c>
      <c r="L654" s="5" t="s">
        <v>3753</v>
      </c>
      <c r="M654" s="11" t="s">
        <v>78</v>
      </c>
      <c r="P654" s="5" t="s">
        <v>3751</v>
      </c>
      <c r="Q654" s="13" t="s">
        <v>3754</v>
      </c>
      <c r="R654" s="11">
        <v>-49.355527917863299</v>
      </c>
      <c r="T654" s="11">
        <v>-20.832124006266</v>
      </c>
      <c r="U654" s="11">
        <v>-49.355527917863299</v>
      </c>
    </row>
    <row r="655" spans="1:21">
      <c r="A655" s="5" t="s">
        <v>3755</v>
      </c>
      <c r="G655" s="11" t="s">
        <v>3756</v>
      </c>
      <c r="H655" s="11">
        <v>2790</v>
      </c>
      <c r="I655" s="5" t="s">
        <v>3757</v>
      </c>
      <c r="J655" s="5" t="s">
        <v>3758</v>
      </c>
      <c r="K655" s="5" t="s">
        <v>3759</v>
      </c>
      <c r="L655" s="11" t="s">
        <v>3760</v>
      </c>
      <c r="M655" s="11" t="s">
        <v>281</v>
      </c>
      <c r="P655" s="5" t="s">
        <v>3758</v>
      </c>
      <c r="Q655" s="13" t="s">
        <v>3761</v>
      </c>
      <c r="R655" s="11">
        <v>-45.385011533258897</v>
      </c>
      <c r="T655" s="11">
        <v>-3.6649946756279501</v>
      </c>
      <c r="U655" s="11">
        <v>-45.385011533258897</v>
      </c>
    </row>
    <row r="656" spans="1:21">
      <c r="G656" s="5"/>
      <c r="H656" s="5"/>
      <c r="I656" s="5"/>
      <c r="J656" s="5"/>
      <c r="K656" s="5"/>
      <c r="P656" s="5"/>
    </row>
    <row r="657" spans="1:22">
      <c r="A657" s="5" t="s">
        <v>3762</v>
      </c>
      <c r="G657" s="11" t="s">
        <v>3763</v>
      </c>
      <c r="H657" s="11" t="s">
        <v>129</v>
      </c>
      <c r="I657" s="5" t="s">
        <v>3764</v>
      </c>
      <c r="J657" s="5" t="s">
        <v>3765</v>
      </c>
      <c r="K657" s="11" t="s">
        <v>886</v>
      </c>
      <c r="L657" s="11" t="s">
        <v>887</v>
      </c>
      <c r="M657" s="11" t="s">
        <v>225</v>
      </c>
      <c r="P657" s="5" t="s">
        <v>3765</v>
      </c>
      <c r="Q657" s="13" t="s">
        <v>3766</v>
      </c>
      <c r="R657" s="11">
        <v>-49.085882944741797</v>
      </c>
      <c r="T657" s="11">
        <v>-5.3567252708551498</v>
      </c>
      <c r="U657" s="11">
        <v>-49.085882944741797</v>
      </c>
    </row>
    <row r="658" spans="1:22">
      <c r="A658" s="5" t="s">
        <v>3767</v>
      </c>
      <c r="G658" s="5" t="s">
        <v>3768</v>
      </c>
      <c r="H658" s="11">
        <v>291</v>
      </c>
      <c r="I658" s="5" t="s">
        <v>3769</v>
      </c>
      <c r="J658" s="5" t="s">
        <v>3770</v>
      </c>
      <c r="K658" s="11" t="s">
        <v>3555</v>
      </c>
      <c r="L658" s="5" t="s">
        <v>3771</v>
      </c>
      <c r="M658" s="11" t="s">
        <v>354</v>
      </c>
      <c r="P658" s="5" t="s">
        <v>3770</v>
      </c>
      <c r="Q658" s="13" t="s">
        <v>3772</v>
      </c>
      <c r="R658" s="11">
        <v>-38.458818633496797</v>
      </c>
      <c r="T658" s="11">
        <v>-4.1730490942349103</v>
      </c>
      <c r="U658" s="11">
        <v>-38.458818633496797</v>
      </c>
    </row>
    <row r="659" spans="1:22">
      <c r="A659" s="5" t="s">
        <v>3773</v>
      </c>
      <c r="G659" s="5" t="s">
        <v>3774</v>
      </c>
      <c r="H659" s="11">
        <v>1189</v>
      </c>
      <c r="I659" s="5" t="s">
        <v>3775</v>
      </c>
      <c r="J659" s="5" t="s">
        <v>3776</v>
      </c>
      <c r="K659" s="5" t="s">
        <v>3777</v>
      </c>
      <c r="L659" s="11" t="s">
        <v>3778</v>
      </c>
      <c r="M659" s="11" t="s">
        <v>68</v>
      </c>
      <c r="P659" s="5" t="s">
        <v>3776</v>
      </c>
      <c r="Q659" s="13" t="s">
        <v>3779</v>
      </c>
      <c r="R659" s="11">
        <v>-44.077609133156102</v>
      </c>
      <c r="T659" s="11">
        <v>-22.523548648139201</v>
      </c>
      <c r="U659" s="11">
        <v>-44.077609133156102</v>
      </c>
    </row>
    <row r="660" spans="1:22">
      <c r="A660" s="11" t="s">
        <v>3780</v>
      </c>
      <c r="G660" s="11" t="s">
        <v>3781</v>
      </c>
      <c r="H660" s="11">
        <v>1240</v>
      </c>
      <c r="I660" s="11" t="s">
        <v>3782</v>
      </c>
      <c r="J660" s="11" t="s">
        <v>3783</v>
      </c>
      <c r="K660" s="11" t="s">
        <v>3353</v>
      </c>
      <c r="L660" s="11" t="s">
        <v>3784</v>
      </c>
      <c r="M660" s="11" t="s">
        <v>78</v>
      </c>
      <c r="P660" s="13" t="s">
        <v>3783</v>
      </c>
      <c r="Q660" s="13" t="s">
        <v>3785</v>
      </c>
      <c r="R660" s="11">
        <v>-49.411338504372097</v>
      </c>
      <c r="T660" s="11">
        <v>-20.789668120245601</v>
      </c>
      <c r="U660" s="11">
        <v>-49.411338504372097</v>
      </c>
    </row>
    <row r="661" spans="1:22">
      <c r="A661" s="11" t="s">
        <v>3786</v>
      </c>
      <c r="G661" s="11" t="s">
        <v>3787</v>
      </c>
      <c r="H661" s="11">
        <v>27</v>
      </c>
      <c r="I661" s="11" t="s">
        <v>3788</v>
      </c>
      <c r="J661" s="11" t="s">
        <v>3789</v>
      </c>
      <c r="K661" s="11" t="s">
        <v>3790</v>
      </c>
      <c r="L661" s="11" t="s">
        <v>207</v>
      </c>
      <c r="M661" s="11" t="s">
        <v>86</v>
      </c>
      <c r="P661" s="13" t="s">
        <v>3789</v>
      </c>
      <c r="Q661" s="13" t="s">
        <v>3791</v>
      </c>
      <c r="R661" s="11">
        <v>-38.2179569046111</v>
      </c>
      <c r="T661" s="11">
        <v>-9.4007844211831895</v>
      </c>
      <c r="U661" s="11">
        <v>-38.2179569046111</v>
      </c>
    </row>
    <row r="662" spans="1:22" ht="13.9" customHeight="1">
      <c r="A662" s="11" t="s">
        <v>3792</v>
      </c>
      <c r="G662" s="11" t="s">
        <v>3793</v>
      </c>
      <c r="H662" s="11">
        <v>50</v>
      </c>
      <c r="J662" s="11" t="s">
        <v>3794</v>
      </c>
      <c r="K662" s="11" t="s">
        <v>3795</v>
      </c>
      <c r="L662" s="11" t="s">
        <v>3796</v>
      </c>
      <c r="M662" s="11" t="s">
        <v>78</v>
      </c>
      <c r="P662" s="13" t="s">
        <v>3794</v>
      </c>
      <c r="Q662" s="13" t="s">
        <v>3797</v>
      </c>
      <c r="R662" s="11">
        <v>-46.575233028861099</v>
      </c>
      <c r="T662" s="11">
        <v>-23.165605497543101</v>
      </c>
      <c r="U662" s="11">
        <v>-46.575233028861099</v>
      </c>
    </row>
    <row r="663" spans="1:22">
      <c r="G663" s="5"/>
    </row>
    <row r="664" spans="1:22">
      <c r="A664" s="11" t="s">
        <v>3798</v>
      </c>
      <c r="G664" s="11" t="s">
        <v>3799</v>
      </c>
      <c r="I664" s="11" t="s">
        <v>3800</v>
      </c>
      <c r="J664" s="11" t="s">
        <v>3801</v>
      </c>
      <c r="K664" s="11" t="s">
        <v>3802</v>
      </c>
      <c r="L664" s="11" t="s">
        <v>853</v>
      </c>
      <c r="M664" s="11" t="s">
        <v>86</v>
      </c>
      <c r="P664" s="13" t="s">
        <v>3801</v>
      </c>
      <c r="Q664" s="13" t="s">
        <v>3803</v>
      </c>
      <c r="R664" s="11">
        <v>-38.2767686910652</v>
      </c>
      <c r="T664" s="11">
        <v>-12.842571745671099</v>
      </c>
      <c r="U664" s="11">
        <v>-38.2767686910652</v>
      </c>
    </row>
    <row r="665" spans="1:22" ht="18">
      <c r="A665" s="11" t="s">
        <v>3804</v>
      </c>
      <c r="G665" s="11" t="s">
        <v>3805</v>
      </c>
      <c r="H665" s="11">
        <v>240</v>
      </c>
      <c r="I665" s="11" t="s">
        <v>3806</v>
      </c>
      <c r="J665" s="11" t="s">
        <v>3807</v>
      </c>
      <c r="K665" s="11" t="s">
        <v>3808</v>
      </c>
      <c r="L665" s="11" t="s">
        <v>48</v>
      </c>
      <c r="M665" s="11" t="s">
        <v>49</v>
      </c>
      <c r="P665" s="13" t="s">
        <v>3807</v>
      </c>
      <c r="Q665" s="13" t="s">
        <v>3809</v>
      </c>
      <c r="R665" s="11">
        <v>-37.061041206202603</v>
      </c>
      <c r="T665" s="11">
        <v>-10.989654221258901</v>
      </c>
      <c r="U665" s="11">
        <v>-37.061041206202603</v>
      </c>
      <c r="V665" s="43" t="s">
        <v>3810</v>
      </c>
    </row>
    <row r="666" spans="1:22">
      <c r="A666" s="11" t="s">
        <v>3811</v>
      </c>
      <c r="G666" s="11" t="s">
        <v>3812</v>
      </c>
      <c r="J666" s="11" t="s">
        <v>3813</v>
      </c>
      <c r="L666" s="11" t="s">
        <v>3814</v>
      </c>
      <c r="M666" s="11" t="s">
        <v>281</v>
      </c>
      <c r="P666" s="13" t="s">
        <v>3813</v>
      </c>
      <c r="Q666" s="13" t="s">
        <v>3815</v>
      </c>
      <c r="R666" s="11">
        <v>-45.299340646997997</v>
      </c>
      <c r="T666" s="11">
        <v>-2.2390466564520701</v>
      </c>
      <c r="U666" s="11">
        <v>-45.299340646997997</v>
      </c>
    </row>
    <row r="668" spans="1:22">
      <c r="A668" s="11" t="s">
        <v>3816</v>
      </c>
      <c r="G668" s="11" t="s">
        <v>3817</v>
      </c>
      <c r="H668" s="11">
        <v>2597</v>
      </c>
      <c r="I668" s="11" t="s">
        <v>3818</v>
      </c>
      <c r="J668" s="11" t="s">
        <v>3819</v>
      </c>
      <c r="K668" s="11" t="s">
        <v>3820</v>
      </c>
      <c r="L668" s="11" t="s">
        <v>179</v>
      </c>
      <c r="M668" s="11" t="s">
        <v>29</v>
      </c>
      <c r="P668" s="13" t="s">
        <v>3819</v>
      </c>
      <c r="Q668" s="13" t="s">
        <v>3821</v>
      </c>
      <c r="R668" s="11">
        <v>-34.8249427178825</v>
      </c>
      <c r="T668" s="11">
        <v>-7.9347014659709796</v>
      </c>
      <c r="U668" s="11">
        <v>-34.8249427178825</v>
      </c>
    </row>
    <row r="669" spans="1:22">
      <c r="A669" s="11" t="s">
        <v>3822</v>
      </c>
      <c r="G669" s="11" t="s">
        <v>3823</v>
      </c>
      <c r="I669" s="11" t="s">
        <v>3634</v>
      </c>
      <c r="J669" s="11" t="s">
        <v>3824</v>
      </c>
      <c r="K669" s="11" t="s">
        <v>376</v>
      </c>
      <c r="L669" s="11" t="s">
        <v>3825</v>
      </c>
      <c r="M669" s="11" t="s">
        <v>354</v>
      </c>
      <c r="P669" s="13" t="s">
        <v>3824</v>
      </c>
      <c r="Q669" s="13" t="s">
        <v>3826</v>
      </c>
      <c r="R669" s="11">
        <v>-38.644182946991897</v>
      </c>
      <c r="T669" s="11">
        <v>-3.72459348390016</v>
      </c>
      <c r="U669" s="11">
        <v>-38.644182946991897</v>
      </c>
    </row>
    <row r="670" spans="1:22" s="46" customForma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5"/>
      <c r="Q670" s="44"/>
      <c r="R670" s="44"/>
      <c r="S670" s="44"/>
      <c r="T670" s="44"/>
      <c r="U670" s="44"/>
    </row>
    <row r="671" spans="1:22">
      <c r="A671" s="40" t="s">
        <v>3827</v>
      </c>
      <c r="G671" s="11" t="s">
        <v>3828</v>
      </c>
      <c r="H671" s="11">
        <v>95</v>
      </c>
      <c r="I671" s="11" t="s">
        <v>3829</v>
      </c>
      <c r="J671" s="11" t="s">
        <v>3830</v>
      </c>
      <c r="K671" s="11" t="s">
        <v>3831</v>
      </c>
      <c r="L671" s="11" t="s">
        <v>3832</v>
      </c>
      <c r="M671" s="11" t="s">
        <v>391</v>
      </c>
      <c r="P671" s="13" t="s">
        <v>3830</v>
      </c>
      <c r="Q671" s="13" t="s">
        <v>3833</v>
      </c>
      <c r="R671" s="11">
        <v>-42.951561604388203</v>
      </c>
      <c r="T671" s="11">
        <v>-8.11154742742956</v>
      </c>
      <c r="U671" s="11">
        <v>-42.951561604388203</v>
      </c>
    </row>
    <row r="672" spans="1:22">
      <c r="A672" s="11" t="s">
        <v>3834</v>
      </c>
      <c r="G672" s="11" t="s">
        <v>3835</v>
      </c>
      <c r="H672" s="11">
        <v>94</v>
      </c>
      <c r="J672" s="11" t="s">
        <v>3836</v>
      </c>
      <c r="K672" s="11" t="s">
        <v>3555</v>
      </c>
      <c r="L672" s="11" t="s">
        <v>3837</v>
      </c>
      <c r="M672" s="11" t="s">
        <v>215</v>
      </c>
      <c r="P672" s="13" t="s">
        <v>3836</v>
      </c>
      <c r="Q672" s="13" t="s">
        <v>3838</v>
      </c>
      <c r="R672" s="11">
        <v>-35.208709004405897</v>
      </c>
      <c r="T672" s="11">
        <v>-6.2676691290145401</v>
      </c>
      <c r="U672" s="11">
        <v>-35.208709004405897</v>
      </c>
    </row>
    <row r="673" spans="1:21">
      <c r="A673" s="11" t="s">
        <v>3839</v>
      </c>
      <c r="G673" s="11" t="s">
        <v>3840</v>
      </c>
      <c r="H673" s="11">
        <v>238</v>
      </c>
      <c r="J673" s="11" t="s">
        <v>3841</v>
      </c>
      <c r="K673" s="11" t="s">
        <v>3555</v>
      </c>
      <c r="L673" s="11" t="s">
        <v>3842</v>
      </c>
      <c r="M673" s="11" t="s">
        <v>404</v>
      </c>
      <c r="P673" s="13" t="s">
        <v>3841</v>
      </c>
      <c r="Q673" s="13" t="s">
        <v>3843</v>
      </c>
      <c r="R673" s="11">
        <v>-46.938345619748603</v>
      </c>
      <c r="T673" s="11">
        <v>-19.593448458949599</v>
      </c>
      <c r="U673" s="11">
        <v>-46.938345619748603</v>
      </c>
    </row>
    <row r="674" spans="1:21">
      <c r="A674" s="11" t="s">
        <v>3844</v>
      </c>
      <c r="G674" s="11" t="s">
        <v>3845</v>
      </c>
      <c r="H674" s="11">
        <v>1261</v>
      </c>
      <c r="J674" s="11" t="s">
        <v>3846</v>
      </c>
      <c r="K674" s="11" t="s">
        <v>3555</v>
      </c>
      <c r="L674" s="11" t="s">
        <v>3847</v>
      </c>
      <c r="M674" s="11" t="s">
        <v>78</v>
      </c>
      <c r="P674" s="13" t="s">
        <v>3846</v>
      </c>
      <c r="Q674" s="13" t="s">
        <v>3848</v>
      </c>
      <c r="R674" s="11">
        <v>-48.924219204080401</v>
      </c>
      <c r="T674" s="11">
        <v>-23.100333704767799</v>
      </c>
      <c r="U674" s="11">
        <v>-48.924219204080401</v>
      </c>
    </row>
    <row r="675" spans="1:21">
      <c r="A675" s="11" t="s">
        <v>3849</v>
      </c>
      <c r="G675" s="11" t="s">
        <v>3850</v>
      </c>
      <c r="H675" s="11">
        <v>200</v>
      </c>
      <c r="I675" s="11" t="s">
        <v>3851</v>
      </c>
      <c r="J675" s="11" t="s">
        <v>3852</v>
      </c>
      <c r="K675" s="11" t="s">
        <v>3853</v>
      </c>
      <c r="L675" s="11" t="s">
        <v>3854</v>
      </c>
      <c r="M675" s="11" t="s">
        <v>78</v>
      </c>
      <c r="P675" s="13" t="s">
        <v>3852</v>
      </c>
      <c r="Q675" s="13" t="s">
        <v>3855</v>
      </c>
      <c r="R675" s="11">
        <v>-47.915013632948202</v>
      </c>
      <c r="T675" s="11">
        <v>-22.0174653943854</v>
      </c>
      <c r="U675" s="11">
        <v>-47.915013632948202</v>
      </c>
    </row>
    <row r="676" spans="1:21">
      <c r="A676" s="11" t="s">
        <v>3856</v>
      </c>
      <c r="G676" s="11" t="s">
        <v>3857</v>
      </c>
      <c r="H676" s="11">
        <v>556</v>
      </c>
      <c r="J676" s="11" t="s">
        <v>3858</v>
      </c>
      <c r="K676" s="11" t="s">
        <v>3555</v>
      </c>
      <c r="L676" s="11" t="s">
        <v>3859</v>
      </c>
      <c r="M676" s="11" t="s">
        <v>679</v>
      </c>
      <c r="P676" s="13" t="s">
        <v>3858</v>
      </c>
      <c r="Q676" s="13" t="s">
        <v>3860</v>
      </c>
      <c r="R676" s="11">
        <v>-51.158736561967402</v>
      </c>
      <c r="T676" s="11">
        <v>-23.310999860712499</v>
      </c>
      <c r="U676" s="11">
        <v>-51.158736561967402</v>
      </c>
    </row>
    <row r="677" spans="1:21">
      <c r="A677" s="11" t="s">
        <v>3861</v>
      </c>
      <c r="G677" s="11" t="s">
        <v>3862</v>
      </c>
      <c r="H677" s="11">
        <v>1981</v>
      </c>
      <c r="I677" s="11" t="s">
        <v>3863</v>
      </c>
      <c r="J677" s="11" t="s">
        <v>3864</v>
      </c>
      <c r="K677" s="11" t="s">
        <v>3865</v>
      </c>
      <c r="L677" s="11" t="s">
        <v>3253</v>
      </c>
      <c r="M677" s="11" t="s">
        <v>86</v>
      </c>
      <c r="P677" s="13" t="s">
        <v>3864</v>
      </c>
      <c r="Q677" s="13" t="s">
        <v>3866</v>
      </c>
      <c r="R677" s="11">
        <v>-40.098735419881898</v>
      </c>
      <c r="T677" s="11">
        <v>-13.862395470194199</v>
      </c>
      <c r="U677" s="11">
        <v>-40.098735419881898</v>
      </c>
    </row>
    <row r="678" spans="1:21">
      <c r="A678" s="11" t="s">
        <v>3867</v>
      </c>
      <c r="G678" s="11" t="s">
        <v>3868</v>
      </c>
      <c r="H678" s="11">
        <v>150</v>
      </c>
      <c r="I678" s="11" t="s">
        <v>3869</v>
      </c>
      <c r="J678" s="11" t="s">
        <v>3870</v>
      </c>
      <c r="K678" s="11" t="s">
        <v>3871</v>
      </c>
      <c r="L678" s="11" t="s">
        <v>3859</v>
      </c>
      <c r="M678" s="11" t="s">
        <v>679</v>
      </c>
      <c r="P678" s="13" t="s">
        <v>3870</v>
      </c>
      <c r="Q678" s="13" t="s">
        <v>3872</v>
      </c>
      <c r="R678" s="11">
        <v>-51.147147017788001</v>
      </c>
      <c r="T678" s="11">
        <v>-23.3118618491917</v>
      </c>
      <c r="U678" s="11">
        <v>-51.147147017788001</v>
      </c>
    </row>
    <row r="679" spans="1:21">
      <c r="A679" s="11" t="s">
        <v>3873</v>
      </c>
      <c r="G679" s="11" t="s">
        <v>3874</v>
      </c>
      <c r="H679" s="11">
        <v>365</v>
      </c>
      <c r="J679" s="11" t="s">
        <v>3875</v>
      </c>
      <c r="K679" s="11" t="s">
        <v>3555</v>
      </c>
      <c r="L679" s="11" t="s">
        <v>1654</v>
      </c>
      <c r="M679" s="11" t="s">
        <v>78</v>
      </c>
      <c r="P679" s="13" t="s">
        <v>3875</v>
      </c>
      <c r="Q679" s="13" t="s">
        <v>3876</v>
      </c>
      <c r="R679" s="11">
        <v>-46.383665590781902</v>
      </c>
      <c r="T679" s="11">
        <v>-23.9671457596327</v>
      </c>
      <c r="U679" s="11">
        <v>-46.383665590781902</v>
      </c>
    </row>
    <row r="680" spans="1:21">
      <c r="A680" s="41"/>
      <c r="I680" s="40"/>
    </row>
    <row r="681" spans="1:21">
      <c r="A681" s="11" t="s">
        <v>3877</v>
      </c>
      <c r="G681" s="11" t="s">
        <v>3878</v>
      </c>
      <c r="H681" s="11">
        <v>517</v>
      </c>
      <c r="J681" s="11" t="s">
        <v>3879</v>
      </c>
      <c r="K681" s="11" t="s">
        <v>3555</v>
      </c>
      <c r="L681" s="11" t="s">
        <v>3880</v>
      </c>
      <c r="M681" s="11" t="s">
        <v>215</v>
      </c>
      <c r="P681" s="13" t="s">
        <v>3879</v>
      </c>
      <c r="Q681" s="13" t="s">
        <v>3881</v>
      </c>
      <c r="R681" s="11">
        <v>-36.909471131238</v>
      </c>
      <c r="T681" s="11">
        <v>-5.57509057998044</v>
      </c>
      <c r="U681" s="11">
        <v>-36.909471131238</v>
      </c>
    </row>
    <row r="682" spans="1:21">
      <c r="A682" s="11" t="s">
        <v>3882</v>
      </c>
      <c r="G682" s="11" t="s">
        <v>3883</v>
      </c>
      <c r="H682" s="11">
        <v>305</v>
      </c>
      <c r="I682" s="11" t="s">
        <v>3884</v>
      </c>
      <c r="J682" s="11" t="s">
        <v>3885</v>
      </c>
      <c r="K682" s="11" t="s">
        <v>3886</v>
      </c>
      <c r="L682" s="11" t="s">
        <v>1695</v>
      </c>
      <c r="M682" s="11" t="s">
        <v>354</v>
      </c>
      <c r="P682" s="13" t="s">
        <v>3885</v>
      </c>
      <c r="Q682" s="13" t="s">
        <v>3887</v>
      </c>
      <c r="R682" s="11">
        <v>-38.472235304662803</v>
      </c>
      <c r="T682" s="11">
        <v>-3.8569888870457598</v>
      </c>
      <c r="U682" s="11">
        <v>-38.472235304662803</v>
      </c>
    </row>
    <row r="683" spans="1:21">
      <c r="A683" s="11" t="s">
        <v>3888</v>
      </c>
      <c r="G683" s="11" t="s">
        <v>3889</v>
      </c>
      <c r="I683" s="11" t="s">
        <v>3889</v>
      </c>
      <c r="J683" s="11" t="s">
        <v>3890</v>
      </c>
      <c r="K683" s="11" t="s">
        <v>3891</v>
      </c>
      <c r="L683" s="11" t="s">
        <v>755</v>
      </c>
      <c r="M683" s="11" t="s">
        <v>86</v>
      </c>
      <c r="P683" s="13" t="s">
        <v>3890</v>
      </c>
      <c r="Q683" s="13" t="s">
        <v>3892</v>
      </c>
      <c r="R683" s="11">
        <v>-38.511464133155798</v>
      </c>
      <c r="T683" s="11">
        <v>-12.982789596496399</v>
      </c>
      <c r="U683" s="11">
        <v>-38.511464133155798</v>
      </c>
    </row>
    <row r="685" spans="1:21">
      <c r="A685" s="11" t="s">
        <v>3893</v>
      </c>
      <c r="G685" s="11" t="s">
        <v>3894</v>
      </c>
      <c r="H685" s="11">
        <v>1904</v>
      </c>
      <c r="J685" s="11" t="s">
        <v>3895</v>
      </c>
      <c r="K685" s="11" t="s">
        <v>3896</v>
      </c>
      <c r="L685" s="11" t="s">
        <v>3897</v>
      </c>
      <c r="M685" s="11" t="s">
        <v>86</v>
      </c>
      <c r="P685" s="13" t="s">
        <v>3895</v>
      </c>
      <c r="Q685" s="13" t="s">
        <v>3898</v>
      </c>
      <c r="R685" s="11">
        <v>-39.038527904520002</v>
      </c>
      <c r="T685" s="11">
        <v>-14.786853497593601</v>
      </c>
      <c r="U685" s="11">
        <v>-39.038527904520002</v>
      </c>
    </row>
    <row r="687" spans="1:21">
      <c r="A687" s="11" t="s">
        <v>3899</v>
      </c>
      <c r="G687" s="11" t="s">
        <v>3900</v>
      </c>
      <c r="H687" s="11">
        <v>382</v>
      </c>
      <c r="I687" s="11" t="s">
        <v>3901</v>
      </c>
      <c r="J687" s="11" t="s">
        <v>3902</v>
      </c>
      <c r="K687" s="11" t="s">
        <v>3903</v>
      </c>
      <c r="L687" s="11" t="s">
        <v>3904</v>
      </c>
      <c r="M687" s="11" t="s">
        <v>918</v>
      </c>
      <c r="P687" s="13" t="s">
        <v>3902</v>
      </c>
      <c r="Q687" s="13" t="s">
        <v>3905</v>
      </c>
      <c r="R687" s="11">
        <v>-41.120607461816299</v>
      </c>
      <c r="T687" s="11">
        <v>-20.8581481550295</v>
      </c>
      <c r="U687" s="11">
        <v>-41.120607461816299</v>
      </c>
    </row>
    <row r="689" spans="1:21" ht="13.9" customHeight="1"/>
    <row r="691" spans="1:21">
      <c r="A691" s="11" t="s">
        <v>3906</v>
      </c>
      <c r="B691" s="33"/>
      <c r="G691" s="11" t="s">
        <v>3907</v>
      </c>
      <c r="J691" s="11" t="s">
        <v>3908</v>
      </c>
      <c r="K691" s="11" t="s">
        <v>3555</v>
      </c>
      <c r="L691" s="11" t="s">
        <v>3909</v>
      </c>
      <c r="M691" s="11" t="s">
        <v>86</v>
      </c>
      <c r="P691" s="13" t="s">
        <v>3908</v>
      </c>
      <c r="Q691" s="13" t="s">
        <v>3910</v>
      </c>
      <c r="R691" s="11">
        <v>-39.833671207400997</v>
      </c>
      <c r="T691" s="11">
        <v>-10.3445957681677</v>
      </c>
      <c r="U691" s="11">
        <v>-39.833671207400997</v>
      </c>
    </row>
    <row r="692" spans="1:21">
      <c r="A692" s="11" t="s">
        <v>3911</v>
      </c>
      <c r="G692" s="11" t="s">
        <v>3912</v>
      </c>
      <c r="H692" s="11">
        <v>900</v>
      </c>
      <c r="I692" s="11" t="s">
        <v>3806</v>
      </c>
      <c r="J692" s="11" t="s">
        <v>3913</v>
      </c>
      <c r="K692" s="11" t="s">
        <v>762</v>
      </c>
      <c r="L692" s="11" t="s">
        <v>3682</v>
      </c>
      <c r="M692" s="11" t="s">
        <v>68</v>
      </c>
      <c r="P692" s="13" t="s">
        <v>3913</v>
      </c>
      <c r="Q692" s="13" t="s">
        <v>3914</v>
      </c>
      <c r="R692" s="11">
        <v>-42.051972204199103</v>
      </c>
      <c r="T692" s="11">
        <v>-22.887545939134899</v>
      </c>
      <c r="U692" s="11">
        <v>-42.051972204199103</v>
      </c>
    </row>
    <row r="693" spans="1:21">
      <c r="A693" s="11" t="s">
        <v>3915</v>
      </c>
      <c r="G693" s="11" t="s">
        <v>3916</v>
      </c>
      <c r="H693" s="11">
        <v>2302</v>
      </c>
      <c r="J693" s="11" t="s">
        <v>3917</v>
      </c>
      <c r="K693" s="11" t="s">
        <v>3918</v>
      </c>
      <c r="L693" s="11" t="s">
        <v>3919</v>
      </c>
      <c r="M693" s="11" t="s">
        <v>78</v>
      </c>
      <c r="P693" s="13" t="s">
        <v>3917</v>
      </c>
      <c r="Q693" s="13" t="s">
        <v>3920</v>
      </c>
      <c r="R693" s="11">
        <v>-46.781737690620403</v>
      </c>
      <c r="T693" s="11">
        <v>-21.993947235827299</v>
      </c>
      <c r="U693" s="11">
        <v>-46.781737690620403</v>
      </c>
    </row>
    <row r="694" spans="1:21">
      <c r="A694" s="11" t="s">
        <v>3921</v>
      </c>
      <c r="G694" s="11" t="s">
        <v>3922</v>
      </c>
      <c r="J694" s="11" t="s">
        <v>3923</v>
      </c>
      <c r="K694" s="11" t="s">
        <v>3924</v>
      </c>
      <c r="L694" s="11" t="s">
        <v>171</v>
      </c>
      <c r="M694" s="11" t="s">
        <v>86</v>
      </c>
      <c r="P694" s="13" t="s">
        <v>3923</v>
      </c>
      <c r="Q694" s="13" t="s">
        <v>3925</v>
      </c>
      <c r="R694" s="11">
        <v>-40.488445404372598</v>
      </c>
      <c r="T694" s="11">
        <v>-9.4514907242448292</v>
      </c>
      <c r="U694" s="11">
        <v>-40.488445404372598</v>
      </c>
    </row>
    <row r="695" spans="1:21">
      <c r="A695" s="11" t="s">
        <v>3926</v>
      </c>
      <c r="G695" s="5" t="s">
        <v>3927</v>
      </c>
      <c r="I695" s="39" t="s">
        <v>3928</v>
      </c>
      <c r="J695" s="11" t="s">
        <v>3929</v>
      </c>
      <c r="K695" s="11" t="s">
        <v>3930</v>
      </c>
      <c r="L695" s="11" t="s">
        <v>3931</v>
      </c>
      <c r="M695" s="11" t="s">
        <v>225</v>
      </c>
      <c r="P695" s="13" t="s">
        <v>3929</v>
      </c>
      <c r="Q695" s="13" t="s">
        <v>3932</v>
      </c>
      <c r="R695" s="11">
        <v>-48.330269904430601</v>
      </c>
      <c r="T695" s="11">
        <v>-1.3655371954661999</v>
      </c>
      <c r="U695" s="11">
        <v>-48.330269904430601</v>
      </c>
    </row>
    <row r="696" spans="1:21">
      <c r="A696" s="11" t="s">
        <v>3933</v>
      </c>
      <c r="G696" s="11" t="s">
        <v>3934</v>
      </c>
      <c r="H696" s="11">
        <v>150</v>
      </c>
      <c r="J696" s="11" t="s">
        <v>3935</v>
      </c>
      <c r="K696" s="11" t="s">
        <v>3936</v>
      </c>
      <c r="L696" s="11" t="s">
        <v>3937</v>
      </c>
      <c r="M696" s="11" t="s">
        <v>918</v>
      </c>
      <c r="P696" s="13" t="s">
        <v>3935</v>
      </c>
      <c r="Q696" s="13" t="s">
        <v>3938</v>
      </c>
      <c r="R696" s="11">
        <v>-40.294818504158101</v>
      </c>
      <c r="T696" s="11">
        <v>-20.354949540013401</v>
      </c>
      <c r="U696" s="11">
        <v>-40.294818504158101</v>
      </c>
    </row>
    <row r="697" spans="1:21">
      <c r="A697" s="11" t="s">
        <v>3939</v>
      </c>
      <c r="G697" s="11" t="s">
        <v>3940</v>
      </c>
      <c r="H697" s="11">
        <v>1317</v>
      </c>
      <c r="J697" s="11" t="s">
        <v>3941</v>
      </c>
      <c r="K697" s="11" t="s">
        <v>3555</v>
      </c>
      <c r="L697" s="11" t="s">
        <v>3942</v>
      </c>
      <c r="M697" s="11" t="s">
        <v>78</v>
      </c>
      <c r="P697" s="13" t="s">
        <v>3941</v>
      </c>
      <c r="Q697" s="13" t="s">
        <v>3943</v>
      </c>
      <c r="R697" s="11">
        <v>-46.552163304061899</v>
      </c>
      <c r="T697" s="11">
        <v>-23.711108378697201</v>
      </c>
      <c r="U697" s="11">
        <v>-46.552163304061899</v>
      </c>
    </row>
    <row r="698" spans="1:21">
      <c r="A698" s="11" t="s">
        <v>3944</v>
      </c>
      <c r="G698" s="11" t="s">
        <v>3945</v>
      </c>
      <c r="I698" s="11" t="s">
        <v>3946</v>
      </c>
      <c r="J698" s="11" t="s">
        <v>3947</v>
      </c>
      <c r="L698" s="11" t="s">
        <v>3948</v>
      </c>
      <c r="M698" s="11" t="s">
        <v>723</v>
      </c>
      <c r="P698" s="13" t="s">
        <v>3947</v>
      </c>
      <c r="Q698" s="13" t="s">
        <v>3949</v>
      </c>
      <c r="R698" s="11">
        <v>-49.2514710044534</v>
      </c>
      <c r="T698" s="11">
        <v>-16.8231678290764</v>
      </c>
      <c r="U698" s="11">
        <v>-49.2514710044534</v>
      </c>
    </row>
    <row r="699" spans="1:21">
      <c r="A699" s="11" t="s">
        <v>3950</v>
      </c>
      <c r="G699" s="11" t="s">
        <v>3951</v>
      </c>
      <c r="H699" s="11">
        <v>2741</v>
      </c>
      <c r="I699" s="11" t="s">
        <v>3952</v>
      </c>
      <c r="J699" s="11" t="s">
        <v>3953</v>
      </c>
      <c r="K699" s="11" t="s">
        <v>3954</v>
      </c>
      <c r="L699" s="11" t="s">
        <v>2522</v>
      </c>
      <c r="M699" s="11" t="s">
        <v>225</v>
      </c>
      <c r="P699" s="13" t="s">
        <v>3953</v>
      </c>
      <c r="Q699" s="13" t="s">
        <v>3955</v>
      </c>
      <c r="R699" s="11">
        <v>-52.221785119768498</v>
      </c>
      <c r="T699" s="11">
        <v>-3.2132851967618801</v>
      </c>
      <c r="U699" s="11">
        <v>-52.221785119768498</v>
      </c>
    </row>
    <row r="700" spans="1:21">
      <c r="A700" s="11" t="s">
        <v>3956</v>
      </c>
      <c r="G700" s="11" t="s">
        <v>3957</v>
      </c>
      <c r="H700" s="11">
        <v>1370</v>
      </c>
      <c r="J700" s="11" t="s">
        <v>3958</v>
      </c>
      <c r="K700" s="5" t="s">
        <v>3959</v>
      </c>
      <c r="L700" s="11" t="s">
        <v>3630</v>
      </c>
      <c r="M700" s="11" t="s">
        <v>68</v>
      </c>
      <c r="P700" s="13" t="s">
        <v>3958</v>
      </c>
      <c r="Q700" s="13" t="s">
        <v>3960</v>
      </c>
      <c r="R700" s="11">
        <v>-43.687057575249398</v>
      </c>
      <c r="T700" s="11">
        <v>-22.9379661573251</v>
      </c>
      <c r="U700" s="11">
        <v>-43.687057575249398</v>
      </c>
    </row>
    <row r="701" spans="1:21">
      <c r="A701" s="11" t="s">
        <v>3961</v>
      </c>
      <c r="G701" s="11" t="s">
        <v>3962</v>
      </c>
      <c r="H701" s="11">
        <v>1180</v>
      </c>
      <c r="J701" s="11" t="s">
        <v>3963</v>
      </c>
      <c r="K701" s="11" t="s">
        <v>3964</v>
      </c>
      <c r="L701" s="11" t="s">
        <v>3965</v>
      </c>
      <c r="M701" s="11" t="s">
        <v>354</v>
      </c>
      <c r="P701" s="13" t="s">
        <v>3963</v>
      </c>
      <c r="Q701" s="13" t="s">
        <v>3966</v>
      </c>
      <c r="R701" s="11">
        <v>-40.1197925893239</v>
      </c>
      <c r="T701" s="11">
        <v>-2.8914493515546602</v>
      </c>
      <c r="U701" s="11">
        <v>-40.1197925893239</v>
      </c>
    </row>
    <row r="702" spans="1:21">
      <c r="A702" s="11" t="s">
        <v>3967</v>
      </c>
      <c r="G702" s="11" t="s">
        <v>3968</v>
      </c>
      <c r="H702" s="11">
        <v>8303</v>
      </c>
      <c r="I702" s="11" t="s">
        <v>3969</v>
      </c>
      <c r="J702" s="11" t="s">
        <v>3970</v>
      </c>
      <c r="K702" s="11" t="s">
        <v>3971</v>
      </c>
      <c r="L702" s="11" t="s">
        <v>3972</v>
      </c>
      <c r="M702" s="11" t="s">
        <v>723</v>
      </c>
      <c r="P702" s="13" t="s">
        <v>3970</v>
      </c>
      <c r="Q702" s="13" t="s">
        <v>3973</v>
      </c>
      <c r="R702" s="11">
        <v>-49.278089188905199</v>
      </c>
      <c r="T702" s="11">
        <v>-16.629941623184099</v>
      </c>
      <c r="U702" s="11">
        <v>-49.278089188905199</v>
      </c>
    </row>
    <row r="704" spans="1:21">
      <c r="A704" s="11" t="s">
        <v>3974</v>
      </c>
      <c r="G704" s="11" t="s">
        <v>3975</v>
      </c>
      <c r="H704" s="11">
        <v>140</v>
      </c>
      <c r="I704" s="11" t="s">
        <v>3634</v>
      </c>
      <c r="J704" s="11" t="s">
        <v>3976</v>
      </c>
      <c r="K704" s="11" t="s">
        <v>3977</v>
      </c>
      <c r="L704" s="11" t="s">
        <v>645</v>
      </c>
      <c r="M704" s="11" t="s">
        <v>646</v>
      </c>
      <c r="P704" s="13" t="s">
        <v>3976</v>
      </c>
      <c r="Q704" s="13" t="s">
        <v>3978</v>
      </c>
      <c r="R704" s="11">
        <v>-48.183144448576698</v>
      </c>
      <c r="T704" s="11">
        <v>-7.20384792793344</v>
      </c>
      <c r="U704" s="11">
        <v>-48.183144448576698</v>
      </c>
    </row>
    <row r="705" spans="1:21">
      <c r="A705" s="11" t="s">
        <v>3979</v>
      </c>
      <c r="G705" s="11" t="s">
        <v>3980</v>
      </c>
      <c r="H705" s="11">
        <v>787</v>
      </c>
      <c r="J705" s="11" t="s">
        <v>3981</v>
      </c>
      <c r="K705" s="11" t="s">
        <v>3982</v>
      </c>
      <c r="L705" s="11" t="s">
        <v>2803</v>
      </c>
      <c r="M705" s="11" t="s">
        <v>68</v>
      </c>
      <c r="P705" s="13" t="s">
        <v>3981</v>
      </c>
      <c r="Q705" s="13" t="s">
        <v>3983</v>
      </c>
      <c r="R705" s="11">
        <v>-41.809327861773198</v>
      </c>
      <c r="T705" s="11">
        <v>-22.390430439580999</v>
      </c>
      <c r="U705" s="11">
        <v>-41.809327861773198</v>
      </c>
    </row>
    <row r="706" spans="1:21">
      <c r="A706" s="40" t="s">
        <v>3984</v>
      </c>
      <c r="G706" s="11" t="s">
        <v>3985</v>
      </c>
      <c r="I706" s="11" t="s">
        <v>3986</v>
      </c>
      <c r="J706" s="11" t="s">
        <v>3987</v>
      </c>
      <c r="K706" s="11" t="s">
        <v>3988</v>
      </c>
      <c r="L706" s="11" t="s">
        <v>1363</v>
      </c>
      <c r="M706" s="11" t="s">
        <v>29</v>
      </c>
      <c r="P706" s="13" t="s">
        <v>3987</v>
      </c>
      <c r="Q706" s="13" t="s">
        <v>3989</v>
      </c>
      <c r="R706" s="11">
        <v>-34.906307759901097</v>
      </c>
      <c r="T706" s="11">
        <v>-7.8711767163898099</v>
      </c>
      <c r="U706" s="11">
        <v>-34.906307759901097</v>
      </c>
    </row>
    <row r="707" spans="1:21">
      <c r="A707" s="11" t="s">
        <v>3990</v>
      </c>
      <c r="G707" s="11" t="s">
        <v>3991</v>
      </c>
      <c r="H707" s="11">
        <v>778</v>
      </c>
      <c r="I707" s="11" t="s">
        <v>3992</v>
      </c>
      <c r="J707" s="11" t="s">
        <v>3993</v>
      </c>
      <c r="K707" s="11" t="s">
        <v>799</v>
      </c>
      <c r="L707" s="11" t="s">
        <v>343</v>
      </c>
      <c r="M707" s="11" t="s">
        <v>215</v>
      </c>
      <c r="P707" s="13" t="s">
        <v>3993</v>
      </c>
      <c r="Q707" s="13" t="s">
        <v>3994</v>
      </c>
      <c r="R707" s="11">
        <v>-35.253818904649897</v>
      </c>
      <c r="T707" s="11">
        <v>-5.7691920707344204</v>
      </c>
      <c r="U707" s="11">
        <v>-35.253818904649897</v>
      </c>
    </row>
    <row r="708" spans="1:21">
      <c r="A708" s="11" t="s">
        <v>3995</v>
      </c>
      <c r="G708" s="11" t="s">
        <v>3996</v>
      </c>
      <c r="H708" s="11">
        <v>63</v>
      </c>
      <c r="J708" s="11" t="s">
        <v>3997</v>
      </c>
      <c r="K708" s="11" t="s">
        <v>3998</v>
      </c>
      <c r="L708" s="11" t="s">
        <v>3999</v>
      </c>
      <c r="M708" s="11" t="s">
        <v>404</v>
      </c>
      <c r="P708" s="13" t="s">
        <v>3997</v>
      </c>
      <c r="Q708" s="13" t="s">
        <v>4000</v>
      </c>
      <c r="R708" s="11">
        <v>-44.937019475627203</v>
      </c>
      <c r="T708" s="11">
        <v>-17.342033683537299</v>
      </c>
      <c r="U708" s="11">
        <v>-44.937019475627203</v>
      </c>
    </row>
    <row r="709" spans="1:21">
      <c r="A709" s="11" t="s">
        <v>4001</v>
      </c>
      <c r="G709" s="11" t="s">
        <v>4002</v>
      </c>
      <c r="H709" s="11">
        <v>185</v>
      </c>
      <c r="J709" s="11" t="s">
        <v>4003</v>
      </c>
      <c r="K709" s="11" t="s">
        <v>4004</v>
      </c>
      <c r="L709" s="11" t="s">
        <v>4005</v>
      </c>
      <c r="M709" s="11" t="s">
        <v>78</v>
      </c>
      <c r="P709" s="13" t="s">
        <v>4003</v>
      </c>
      <c r="Q709" s="13" t="s">
        <v>4006</v>
      </c>
      <c r="R709" s="11">
        <v>-47.782238704158601</v>
      </c>
      <c r="T709" s="11">
        <v>-20.336707521075699</v>
      </c>
      <c r="U709" s="11">
        <v>-47.782238704158601</v>
      </c>
    </row>
    <row r="711" spans="1:21">
      <c r="A711" s="11" t="s">
        <v>4007</v>
      </c>
      <c r="G711" s="11" t="s">
        <v>4008</v>
      </c>
      <c r="H711" s="11">
        <v>3997</v>
      </c>
      <c r="I711" s="11" t="s">
        <v>4009</v>
      </c>
      <c r="J711" s="11" t="s">
        <v>4010</v>
      </c>
      <c r="K711" s="11" t="s">
        <v>4011</v>
      </c>
      <c r="L711" s="11" t="s">
        <v>2048</v>
      </c>
      <c r="M711" s="11" t="s">
        <v>404</v>
      </c>
      <c r="P711" s="13" t="s">
        <v>4010</v>
      </c>
      <c r="Q711" s="13" t="s">
        <v>4012</v>
      </c>
      <c r="R711" s="11">
        <v>-48.3081478909303</v>
      </c>
      <c r="T711" s="11">
        <v>-18.9414052822356</v>
      </c>
      <c r="U711" s="11">
        <v>-48.3081478909303</v>
      </c>
    </row>
    <row r="712" spans="1:21">
      <c r="A712" s="11" t="s">
        <v>4013</v>
      </c>
      <c r="G712" s="11" t="s">
        <v>4014</v>
      </c>
      <c r="H712" s="11">
        <v>1</v>
      </c>
      <c r="J712" s="11" t="s">
        <v>4015</v>
      </c>
      <c r="K712" s="11" t="s">
        <v>4016</v>
      </c>
      <c r="L712" s="11" t="s">
        <v>4017</v>
      </c>
      <c r="M712" s="11" t="s">
        <v>646</v>
      </c>
      <c r="P712" s="13" t="s">
        <v>4015</v>
      </c>
      <c r="Q712" s="13" t="s">
        <v>4018</v>
      </c>
      <c r="R712" s="11">
        <v>-48.331147810940998</v>
      </c>
      <c r="T712" s="11">
        <v>-10.2099342024701</v>
      </c>
      <c r="U712" s="11">
        <v>-48.331147810940998</v>
      </c>
    </row>
    <row r="713" spans="1:21">
      <c r="A713" s="11" t="s">
        <v>4019</v>
      </c>
      <c r="G713" s="11" t="s">
        <v>4020</v>
      </c>
      <c r="H713" s="11">
        <v>545</v>
      </c>
      <c r="I713" s="11" t="s">
        <v>4021</v>
      </c>
      <c r="J713" s="11" t="s">
        <v>4022</v>
      </c>
      <c r="K713" s="11" t="s">
        <v>4023</v>
      </c>
      <c r="L713" s="11" t="s">
        <v>4024</v>
      </c>
      <c r="M713" s="39" t="s">
        <v>535</v>
      </c>
      <c r="P713" s="13" t="s">
        <v>4022</v>
      </c>
      <c r="Q713" s="13" t="s">
        <v>4025</v>
      </c>
      <c r="R713" s="11">
        <v>-51.212080261724097</v>
      </c>
      <c r="T713" s="11">
        <v>-30.026614474932401</v>
      </c>
      <c r="U713" s="11">
        <v>-51.212080261724097</v>
      </c>
    </row>
    <row r="714" spans="1:21">
      <c r="A714" s="11" t="s">
        <v>4026</v>
      </c>
      <c r="G714" s="11" t="s">
        <v>4027</v>
      </c>
      <c r="H714" s="11">
        <v>1434</v>
      </c>
      <c r="I714" s="11" t="s">
        <v>4028</v>
      </c>
      <c r="J714" s="11" t="s">
        <v>4029</v>
      </c>
      <c r="K714" s="11" t="s">
        <v>39</v>
      </c>
      <c r="L714" s="11" t="s">
        <v>4030</v>
      </c>
      <c r="M714" s="11" t="s">
        <v>679</v>
      </c>
      <c r="P714" s="13" t="s">
        <v>4029</v>
      </c>
      <c r="Q714" s="13" t="s">
        <v>4031</v>
      </c>
      <c r="R714" s="11">
        <v>-49.204730971402199</v>
      </c>
      <c r="T714" s="11">
        <v>-25.538647857994501</v>
      </c>
      <c r="U714" s="11">
        <v>-49.204730971402199</v>
      </c>
    </row>
    <row r="715" spans="1:21">
      <c r="A715" s="11" t="s">
        <v>4032</v>
      </c>
      <c r="G715" s="11" t="s">
        <v>4033</v>
      </c>
      <c r="H715" s="11">
        <v>745</v>
      </c>
      <c r="J715" s="11" t="s">
        <v>4034</v>
      </c>
      <c r="K715" s="11" t="s">
        <v>4035</v>
      </c>
      <c r="L715" s="11" t="s">
        <v>4036</v>
      </c>
      <c r="M715" s="11" t="s">
        <v>86</v>
      </c>
      <c r="P715" s="13" t="s">
        <v>4034</v>
      </c>
      <c r="Q715" s="13" t="s">
        <v>4037</v>
      </c>
      <c r="R715" s="11">
        <v>-45.009121590841303</v>
      </c>
      <c r="T715" s="11">
        <v>-12.1447074880997</v>
      </c>
      <c r="U715" s="11">
        <v>-45.009121590841303</v>
      </c>
    </row>
    <row r="716" spans="1:21">
      <c r="A716" s="11" t="s">
        <v>4038</v>
      </c>
      <c r="G716" s="11" t="s">
        <v>4039</v>
      </c>
      <c r="H716" s="11">
        <v>385</v>
      </c>
      <c r="J716" s="11" t="s">
        <v>4040</v>
      </c>
      <c r="K716" s="11" t="s">
        <v>3555</v>
      </c>
      <c r="L716" s="11" t="s">
        <v>4041</v>
      </c>
      <c r="M716" s="11" t="s">
        <v>187</v>
      </c>
      <c r="P716" s="13" t="s">
        <v>4040</v>
      </c>
      <c r="Q716" s="13" t="s">
        <v>4042</v>
      </c>
      <c r="R716" s="11">
        <v>-35.633603588840401</v>
      </c>
      <c r="T716" s="11">
        <v>-6.7540918214401504</v>
      </c>
      <c r="U716" s="11">
        <v>-35.633603588840401</v>
      </c>
    </row>
    <row r="717" spans="1:21">
      <c r="A717" s="11" t="s">
        <v>4043</v>
      </c>
      <c r="G717" s="11" t="s">
        <v>4044</v>
      </c>
      <c r="H717" s="11">
        <v>1336</v>
      </c>
      <c r="J717" s="11" t="s">
        <v>4045</v>
      </c>
      <c r="K717" s="11" t="s">
        <v>1448</v>
      </c>
      <c r="L717" s="11" t="s">
        <v>3732</v>
      </c>
      <c r="M717" s="11" t="s">
        <v>404</v>
      </c>
      <c r="P717" s="13" t="s">
        <v>4045</v>
      </c>
      <c r="Q717" s="13" t="s">
        <v>4046</v>
      </c>
      <c r="R717" s="11">
        <v>-46.524113619546497</v>
      </c>
      <c r="T717" s="11">
        <v>-18.596588082511701</v>
      </c>
      <c r="U717" s="11">
        <v>-46.524113619546497</v>
      </c>
    </row>
    <row r="718" spans="1:21">
      <c r="A718" s="11" t="s">
        <v>4047</v>
      </c>
      <c r="G718" s="11" t="s">
        <v>4048</v>
      </c>
      <c r="H718" s="11">
        <v>5005</v>
      </c>
      <c r="I718" s="11" t="s">
        <v>4049</v>
      </c>
      <c r="J718" s="11" t="s">
        <v>4050</v>
      </c>
      <c r="K718" s="11" t="s">
        <v>4051</v>
      </c>
      <c r="L718" s="11" t="s">
        <v>28</v>
      </c>
      <c r="M718" s="11" t="s">
        <v>29</v>
      </c>
      <c r="P718" s="13" t="s">
        <v>4050</v>
      </c>
      <c r="Q718" s="13" t="s">
        <v>4052</v>
      </c>
      <c r="R718" s="11">
        <v>-34.9310302792545</v>
      </c>
      <c r="T718" s="11">
        <v>-8.0892361790695801</v>
      </c>
      <c r="U718" s="11">
        <v>-34.9310302792545</v>
      </c>
    </row>
    <row r="719" spans="1:21">
      <c r="A719" s="11" t="s">
        <v>4053</v>
      </c>
      <c r="G719" s="11" t="s">
        <v>4054</v>
      </c>
      <c r="H719" s="11">
        <v>582</v>
      </c>
      <c r="I719" s="11" t="s">
        <v>4055</v>
      </c>
      <c r="J719" s="11" t="s">
        <v>4056</v>
      </c>
      <c r="K719" s="11" t="s">
        <v>852</v>
      </c>
      <c r="L719" s="11" t="s">
        <v>48</v>
      </c>
      <c r="M719" s="11" t="s">
        <v>49</v>
      </c>
      <c r="P719" s="13" t="s">
        <v>4056</v>
      </c>
      <c r="Q719" s="13" t="s">
        <v>4057</v>
      </c>
      <c r="R719" s="11">
        <v>-37.051025719696398</v>
      </c>
      <c r="T719" s="11">
        <v>-10.895878883002601</v>
      </c>
      <c r="U719" s="11">
        <v>-37.051025719696398</v>
      </c>
    </row>
    <row r="720" spans="1:21">
      <c r="A720" s="11" t="s">
        <v>4058</v>
      </c>
      <c r="G720" s="11" t="s">
        <v>4059</v>
      </c>
      <c r="H720" s="11">
        <v>300</v>
      </c>
      <c r="J720" s="11" t="s">
        <v>4060</v>
      </c>
      <c r="K720" s="11" t="s">
        <v>4061</v>
      </c>
      <c r="L720" s="11" t="s">
        <v>3494</v>
      </c>
      <c r="M720" s="11" t="s">
        <v>354</v>
      </c>
      <c r="P720" s="13" t="s">
        <v>4060</v>
      </c>
      <c r="Q720" s="13" t="s">
        <v>4062</v>
      </c>
      <c r="R720" s="11">
        <v>-38.561954917915003</v>
      </c>
      <c r="T720" s="11">
        <v>-3.7755544017489302</v>
      </c>
      <c r="U720" s="11">
        <v>-38.561954917915003</v>
      </c>
    </row>
    <row r="722" spans="1:21">
      <c r="A722" s="11" t="s">
        <v>4063</v>
      </c>
      <c r="G722" s="11" t="s">
        <v>4064</v>
      </c>
      <c r="H722" s="11">
        <v>419</v>
      </c>
      <c r="J722" s="11" t="s">
        <v>4065</v>
      </c>
      <c r="K722" s="11" t="s">
        <v>4066</v>
      </c>
      <c r="L722" s="11" t="s">
        <v>3494</v>
      </c>
      <c r="M722" s="11" t="s">
        <v>354</v>
      </c>
      <c r="P722" s="13" t="s">
        <v>4065</v>
      </c>
      <c r="Q722" s="13" t="s">
        <v>4067</v>
      </c>
      <c r="R722" s="11">
        <v>-38.574444675586797</v>
      </c>
      <c r="T722" s="11">
        <v>-3.7647019791571799</v>
      </c>
      <c r="U722" s="11">
        <v>-38.574444675586797</v>
      </c>
    </row>
    <row r="723" spans="1:21">
      <c r="A723" s="11" t="s">
        <v>4068</v>
      </c>
      <c r="G723" s="11" t="s">
        <v>4069</v>
      </c>
      <c r="H723" s="11">
        <v>100</v>
      </c>
      <c r="J723" s="11" t="s">
        <v>4070</v>
      </c>
      <c r="K723" s="11" t="s">
        <v>3439</v>
      </c>
      <c r="L723" s="11" t="s">
        <v>4071</v>
      </c>
      <c r="M723" s="39" t="s">
        <v>354</v>
      </c>
      <c r="P723" s="13" t="s">
        <v>4070</v>
      </c>
      <c r="Q723" s="13" t="s">
        <v>4072</v>
      </c>
      <c r="R723" s="11">
        <v>-38.621712502478502</v>
      </c>
      <c r="T723" s="11">
        <v>-3.8806014733082201</v>
      </c>
      <c r="U723" s="11">
        <v>-38.621712502478502</v>
      </c>
    </row>
    <row r="724" spans="1:21">
      <c r="A724" s="11" t="s">
        <v>4073</v>
      </c>
      <c r="G724" s="11" t="s">
        <v>4074</v>
      </c>
      <c r="H724" s="11">
        <v>2450</v>
      </c>
      <c r="J724" s="11" t="s">
        <v>4075</v>
      </c>
      <c r="K724" s="11" t="s">
        <v>4076</v>
      </c>
      <c r="L724" s="39" t="s">
        <v>3494</v>
      </c>
      <c r="M724" s="39" t="s">
        <v>354</v>
      </c>
      <c r="P724" s="11" t="s">
        <v>4075</v>
      </c>
      <c r="Q724" s="13" t="s">
        <v>4077</v>
      </c>
      <c r="R724" s="11">
        <v>-38.566009046750899</v>
      </c>
      <c r="T724" s="11">
        <v>-3.7350257780965701</v>
      </c>
      <c r="U724" s="11">
        <v>-38.566009046750899</v>
      </c>
    </row>
    <row r="725" spans="1:21">
      <c r="A725" s="11" t="s">
        <v>4078</v>
      </c>
      <c r="G725" s="39" t="s">
        <v>4074</v>
      </c>
      <c r="H725" s="42">
        <v>2450</v>
      </c>
      <c r="I725" s="11" t="s">
        <v>4079</v>
      </c>
      <c r="J725" s="11" t="s">
        <v>4075</v>
      </c>
      <c r="K725" s="11" t="s">
        <v>4076</v>
      </c>
      <c r="L725" s="39" t="s">
        <v>3494</v>
      </c>
      <c r="M725" s="39" t="s">
        <v>354</v>
      </c>
      <c r="P725" s="11" t="s">
        <v>4075</v>
      </c>
      <c r="Q725" s="13" t="s">
        <v>4077</v>
      </c>
      <c r="R725" s="11">
        <v>-38.566009046750899</v>
      </c>
      <c r="T725" s="11">
        <v>-3.7350257780965701</v>
      </c>
      <c r="U725" s="11">
        <v>-38.566009046750899</v>
      </c>
    </row>
    <row r="726" spans="1:21">
      <c r="A726" s="11" t="s">
        <v>4080</v>
      </c>
      <c r="G726" s="11" t="s">
        <v>4044</v>
      </c>
      <c r="H726" s="11">
        <v>22155</v>
      </c>
      <c r="I726" s="11" t="s">
        <v>4081</v>
      </c>
      <c r="J726" s="11" t="s">
        <v>4082</v>
      </c>
      <c r="K726" s="11" t="s">
        <v>4083</v>
      </c>
      <c r="L726" s="11" t="s">
        <v>3630</v>
      </c>
      <c r="M726" s="11" t="s">
        <v>68</v>
      </c>
      <c r="P726" s="13" t="s">
        <v>4082</v>
      </c>
      <c r="Q726" s="13" t="s">
        <v>4084</v>
      </c>
      <c r="R726" s="11">
        <v>-43.369012886602</v>
      </c>
      <c r="T726" s="11">
        <v>-22.841028863318499</v>
      </c>
      <c r="U726" s="11">
        <v>-43.369012886602</v>
      </c>
    </row>
    <row r="727" spans="1:21">
      <c r="A727" s="11" t="s">
        <v>4085</v>
      </c>
      <c r="G727" s="11" t="s">
        <v>4086</v>
      </c>
      <c r="H727" s="11">
        <v>1</v>
      </c>
      <c r="I727" s="11" t="s">
        <v>4087</v>
      </c>
      <c r="J727" s="11" t="s">
        <v>4088</v>
      </c>
      <c r="K727" s="11" t="s">
        <v>1243</v>
      </c>
      <c r="L727" s="11" t="s">
        <v>3630</v>
      </c>
      <c r="M727" s="11" t="s">
        <v>68</v>
      </c>
      <c r="P727" s="13" t="s">
        <v>4088</v>
      </c>
      <c r="Q727" s="13" t="s">
        <v>4089</v>
      </c>
      <c r="R727" s="11">
        <v>-43.2090995056694</v>
      </c>
      <c r="T727" s="11">
        <v>-22.899118746828499</v>
      </c>
      <c r="U727" s="11">
        <v>-43.2090995056694</v>
      </c>
    </row>
    <row r="728" spans="1:21">
      <c r="A728" s="11" t="s">
        <v>4058</v>
      </c>
      <c r="G728" s="11" t="s">
        <v>4059</v>
      </c>
      <c r="H728" s="11">
        <v>300</v>
      </c>
      <c r="J728" s="11" t="s">
        <v>4060</v>
      </c>
      <c r="K728" s="11" t="s">
        <v>4061</v>
      </c>
      <c r="L728" s="11" t="s">
        <v>4090</v>
      </c>
      <c r="M728" s="11" t="s">
        <v>354</v>
      </c>
      <c r="P728" s="13" t="s">
        <v>4060</v>
      </c>
      <c r="Q728" s="13" t="s">
        <v>4091</v>
      </c>
      <c r="R728" s="11">
        <v>-38.561987104422499</v>
      </c>
      <c r="T728" s="11">
        <v>-3.77550087399448</v>
      </c>
      <c r="U728" s="11">
        <v>-38.561987104422499</v>
      </c>
    </row>
    <row r="730" spans="1:21">
      <c r="A730" s="11" t="s">
        <v>4092</v>
      </c>
      <c r="G730" s="11" t="s">
        <v>4093</v>
      </c>
      <c r="H730" s="11">
        <v>156</v>
      </c>
      <c r="J730" s="11" t="s">
        <v>4094</v>
      </c>
      <c r="K730" s="11" t="s">
        <v>4095</v>
      </c>
      <c r="L730" s="11" t="s">
        <v>4096</v>
      </c>
      <c r="M730" s="11" t="s">
        <v>187</v>
      </c>
      <c r="P730" s="13" t="s">
        <v>4094</v>
      </c>
      <c r="Q730" s="13" t="s">
        <v>4097</v>
      </c>
      <c r="R730" s="11">
        <v>-37.274687633234997</v>
      </c>
      <c r="T730" s="11">
        <v>-7.0199202413913602</v>
      </c>
      <c r="U730" s="11">
        <v>-37.274687633234997</v>
      </c>
    </row>
    <row r="732" spans="1:21">
      <c r="A732" s="11" t="s">
        <v>4098</v>
      </c>
      <c r="G732" s="11" t="s">
        <v>4099</v>
      </c>
      <c r="H732" s="11">
        <v>201</v>
      </c>
      <c r="J732" s="11" t="s">
        <v>4100</v>
      </c>
      <c r="L732" s="11" t="s">
        <v>4101</v>
      </c>
      <c r="M732" s="11" t="s">
        <v>281</v>
      </c>
      <c r="P732" s="13" t="s">
        <v>4100</v>
      </c>
      <c r="Q732" s="13" t="s">
        <v>4102</v>
      </c>
      <c r="R732" s="11">
        <v>-44.494216462325397</v>
      </c>
      <c r="T732" s="11">
        <v>-5.2828717616462297</v>
      </c>
      <c r="U732" s="11">
        <v>-44.494216462325397</v>
      </c>
    </row>
    <row r="733" spans="1:21">
      <c r="A733" s="11" t="s">
        <v>4103</v>
      </c>
      <c r="G733" s="11" t="s">
        <v>4104</v>
      </c>
      <c r="H733" s="11">
        <v>95</v>
      </c>
      <c r="J733" s="11" t="s">
        <v>4105</v>
      </c>
      <c r="K733" s="11" t="s">
        <v>3439</v>
      </c>
      <c r="L733" s="11" t="s">
        <v>4106</v>
      </c>
      <c r="M733" s="11" t="s">
        <v>404</v>
      </c>
      <c r="P733" s="13" t="s">
        <v>4105</v>
      </c>
      <c r="Q733" s="13" t="s">
        <v>4107</v>
      </c>
      <c r="R733" s="11">
        <v>-48.937298275557701</v>
      </c>
      <c r="T733" s="11">
        <v>-20.026278661508002</v>
      </c>
      <c r="U733" s="11">
        <v>-48.937298275557701</v>
      </c>
    </row>
    <row r="734" spans="1:21">
      <c r="A734" s="11" t="s">
        <v>4108</v>
      </c>
      <c r="G734" s="11" t="s">
        <v>4109</v>
      </c>
      <c r="H734" s="11">
        <v>186</v>
      </c>
      <c r="I734" s="11" t="s">
        <v>4110</v>
      </c>
      <c r="J734" s="11" t="s">
        <v>4111</v>
      </c>
      <c r="K734" s="11" t="s">
        <v>4112</v>
      </c>
      <c r="L734" s="11" t="s">
        <v>77</v>
      </c>
      <c r="M734" s="11" t="s">
        <v>78</v>
      </c>
      <c r="P734" s="13" t="s">
        <v>4111</v>
      </c>
      <c r="Q734" s="13" t="s">
        <v>4113</v>
      </c>
      <c r="R734" s="11">
        <v>-46.616432617780497</v>
      </c>
      <c r="T734" s="11">
        <v>-23.545085607577299</v>
      </c>
      <c r="U734" s="11">
        <v>-46.616432617780497</v>
      </c>
    </row>
    <row r="735" spans="1:21">
      <c r="A735" s="11" t="s">
        <v>4114</v>
      </c>
      <c r="G735" s="11" t="s">
        <v>4115</v>
      </c>
      <c r="H735" s="11">
        <v>178</v>
      </c>
      <c r="I735" s="11" t="s">
        <v>4116</v>
      </c>
      <c r="J735" s="11" t="s">
        <v>4117</v>
      </c>
      <c r="L735" s="11" t="s">
        <v>4118</v>
      </c>
      <c r="M735" s="11" t="s">
        <v>281</v>
      </c>
      <c r="P735" s="13" t="s">
        <v>4117</v>
      </c>
      <c r="Q735" s="13" t="s">
        <v>4119</v>
      </c>
      <c r="R735" s="11">
        <v>-42.829954822873397</v>
      </c>
      <c r="T735" s="11">
        <v>-2.7507719850115002</v>
      </c>
      <c r="U735" s="11">
        <v>-42.829954822873397</v>
      </c>
    </row>
    <row r="736" spans="1:21">
      <c r="A736" s="11" t="s">
        <v>4120</v>
      </c>
      <c r="G736" s="11" t="s">
        <v>4121</v>
      </c>
      <c r="H736" s="11">
        <v>101</v>
      </c>
      <c r="I736" s="11" t="s">
        <v>4122</v>
      </c>
      <c r="J736" s="11" t="s">
        <v>4123</v>
      </c>
      <c r="K736" s="11" t="s">
        <v>4124</v>
      </c>
      <c r="L736" s="11" t="s">
        <v>4125</v>
      </c>
      <c r="M736" s="11" t="s">
        <v>404</v>
      </c>
      <c r="P736" s="13" t="s">
        <v>4123</v>
      </c>
      <c r="Q736" s="13" t="s">
        <v>4126</v>
      </c>
      <c r="R736" s="11">
        <v>-46.9099138198291</v>
      </c>
      <c r="T736" s="11">
        <v>-16.37332599062</v>
      </c>
      <c r="U736" s="11">
        <v>-46.9099138198291</v>
      </c>
    </row>
    <row r="739" spans="1:21">
      <c r="A739" s="41" t="s">
        <v>4127</v>
      </c>
      <c r="G739" s="11" t="s">
        <v>4128</v>
      </c>
      <c r="H739" s="11">
        <v>35</v>
      </c>
      <c r="J739" s="11" t="s">
        <v>4129</v>
      </c>
      <c r="K739" s="11" t="s">
        <v>4130</v>
      </c>
      <c r="L739" s="11" t="s">
        <v>28</v>
      </c>
      <c r="M739" s="11" t="s">
        <v>29</v>
      </c>
      <c r="P739" s="13" t="s">
        <v>4129</v>
      </c>
      <c r="Q739" s="13" t="s">
        <v>4131</v>
      </c>
      <c r="R739" s="11">
        <v>-34.941583104388201</v>
      </c>
      <c r="T739" s="11">
        <v>-8.1178669279245508</v>
      </c>
      <c r="U739" s="11">
        <v>-34.941583104388201</v>
      </c>
    </row>
    <row r="740" spans="1:21">
      <c r="A740" s="11" t="s">
        <v>4132</v>
      </c>
      <c r="G740" s="11" t="s">
        <v>4133</v>
      </c>
      <c r="H740" s="11">
        <v>500</v>
      </c>
      <c r="I740" s="11" t="s">
        <v>4134</v>
      </c>
      <c r="J740" s="11" t="s">
        <v>4135</v>
      </c>
      <c r="K740" s="11" t="s">
        <v>4136</v>
      </c>
      <c r="L740" s="11" t="s">
        <v>4137</v>
      </c>
      <c r="M740" s="11" t="s">
        <v>281</v>
      </c>
      <c r="P740" s="13" t="s">
        <v>4135</v>
      </c>
      <c r="Q740" s="13" t="s">
        <v>4138</v>
      </c>
      <c r="R740" s="11">
        <v>-42.558872790930401</v>
      </c>
      <c r="T740" s="11">
        <v>-3.7118775456332802</v>
      </c>
      <c r="U740" s="11">
        <v>-42.558872790930401</v>
      </c>
    </row>
    <row r="741" spans="1:21">
      <c r="A741" s="11" t="s">
        <v>4139</v>
      </c>
      <c r="G741" s="11" t="s">
        <v>4140</v>
      </c>
      <c r="H741" s="11">
        <v>555</v>
      </c>
      <c r="J741" s="11" t="s">
        <v>4141</v>
      </c>
      <c r="K741" s="11" t="s">
        <v>3555</v>
      </c>
      <c r="L741" s="11" t="s">
        <v>4142</v>
      </c>
      <c r="M741" s="11" t="s">
        <v>391</v>
      </c>
      <c r="P741" s="13" t="s">
        <v>4141</v>
      </c>
      <c r="Q741" s="13" t="s">
        <v>4143</v>
      </c>
      <c r="R741" s="11">
        <v>-43.017259033237302</v>
      </c>
      <c r="T741" s="11">
        <v>-6.7677703473059703</v>
      </c>
      <c r="U741" s="11">
        <v>-43.017259033237302</v>
      </c>
    </row>
    <row r="742" spans="1:21">
      <c r="A742" s="11" t="s">
        <v>4144</v>
      </c>
      <c r="G742" s="11" t="s">
        <v>4145</v>
      </c>
      <c r="H742" s="11">
        <v>599</v>
      </c>
      <c r="J742" s="11" t="s">
        <v>4146</v>
      </c>
      <c r="K742" s="11" t="s">
        <v>39</v>
      </c>
      <c r="L742" s="11" t="s">
        <v>4147</v>
      </c>
      <c r="M742" s="11" t="s">
        <v>404</v>
      </c>
      <c r="P742" s="13" t="s">
        <v>4146</v>
      </c>
      <c r="Q742" s="13" t="s">
        <v>4148</v>
      </c>
      <c r="R742" s="11">
        <v>-46.751778417640303</v>
      </c>
      <c r="T742" s="11">
        <v>-20.743957380834999</v>
      </c>
      <c r="U742" s="11">
        <v>-46.751778417640303</v>
      </c>
    </row>
    <row r="743" spans="1:21">
      <c r="A743" s="11" t="s">
        <v>4149</v>
      </c>
      <c r="G743" s="11" t="s">
        <v>4150</v>
      </c>
      <c r="H743" s="11">
        <v>340</v>
      </c>
      <c r="I743" s="11" t="s">
        <v>4151</v>
      </c>
      <c r="J743" s="11" t="s">
        <v>4152</v>
      </c>
      <c r="L743" s="11" t="s">
        <v>4153</v>
      </c>
      <c r="M743" s="11" t="s">
        <v>225</v>
      </c>
      <c r="P743" s="13" t="s">
        <v>4152</v>
      </c>
      <c r="Q743" s="13" t="s">
        <v>4154</v>
      </c>
      <c r="R743" s="11">
        <v>-48.854998062101799</v>
      </c>
      <c r="T743" s="11">
        <v>-1.7421474504886301</v>
      </c>
      <c r="U743" s="11">
        <v>-48.854998062101799</v>
      </c>
    </row>
    <row r="744" spans="1:21">
      <c r="A744" s="11" t="s">
        <v>4155</v>
      </c>
      <c r="G744" s="11" t="s">
        <v>4156</v>
      </c>
      <c r="H744" s="11">
        <v>2109</v>
      </c>
      <c r="J744" s="11" t="s">
        <v>4157</v>
      </c>
      <c r="K744" s="11" t="s">
        <v>4158</v>
      </c>
      <c r="L744" s="11" t="s">
        <v>4159</v>
      </c>
      <c r="M744" s="11" t="s">
        <v>354</v>
      </c>
      <c r="P744" s="13" t="s">
        <v>4157</v>
      </c>
      <c r="Q744" s="13" t="s">
        <v>4160</v>
      </c>
      <c r="R744" s="11">
        <v>-38.599630904422597</v>
      </c>
      <c r="T744" s="11">
        <v>-3.7778233961960299</v>
      </c>
      <c r="U744" s="11">
        <v>-38.599630904422597</v>
      </c>
    </row>
    <row r="746" spans="1:21">
      <c r="A746" s="11" t="s">
        <v>4161</v>
      </c>
      <c r="G746" s="11" t="s">
        <v>4162</v>
      </c>
      <c r="H746" s="11">
        <v>50</v>
      </c>
      <c r="J746" s="11" t="s">
        <v>4163</v>
      </c>
      <c r="K746" s="11" t="s">
        <v>4164</v>
      </c>
      <c r="L746" s="11" t="s">
        <v>4164</v>
      </c>
      <c r="M746" s="11" t="s">
        <v>147</v>
      </c>
      <c r="P746" s="13" t="s">
        <v>4163</v>
      </c>
      <c r="Q746" s="13" t="s">
        <v>4165</v>
      </c>
      <c r="R746" s="11">
        <v>-37.245536633209298</v>
      </c>
      <c r="T746" s="11">
        <v>-9.3728509051030695</v>
      </c>
      <c r="U746" s="11">
        <v>-37.245536633209298</v>
      </c>
    </row>
    <row r="747" spans="1:21">
      <c r="A747" s="11" t="s">
        <v>4166</v>
      </c>
      <c r="G747" s="11" t="s">
        <v>4167</v>
      </c>
      <c r="H747" s="11">
        <v>1430</v>
      </c>
      <c r="J747" s="11" t="s">
        <v>4168</v>
      </c>
      <c r="K747" s="11" t="s">
        <v>4169</v>
      </c>
      <c r="L747" s="11" t="s">
        <v>4170</v>
      </c>
      <c r="M747" s="11" t="s">
        <v>78</v>
      </c>
      <c r="P747" s="13" t="s">
        <v>4168</v>
      </c>
      <c r="Q747" s="13" t="s">
        <v>4171</v>
      </c>
      <c r="R747" s="11">
        <v>-51.533479890634801</v>
      </c>
      <c r="T747" s="11">
        <v>-21.485673130442699</v>
      </c>
      <c r="U747" s="11">
        <v>-51.533479890634801</v>
      </c>
    </row>
    <row r="748" spans="1:21">
      <c r="A748" s="11" t="s">
        <v>4172</v>
      </c>
      <c r="G748" s="11" t="s">
        <v>4173</v>
      </c>
      <c r="H748" s="11">
        <v>100</v>
      </c>
      <c r="J748" s="11" t="s">
        <v>4174</v>
      </c>
      <c r="K748" s="11" t="s">
        <v>4175</v>
      </c>
      <c r="L748" s="11" t="s">
        <v>28</v>
      </c>
      <c r="M748" s="11" t="s">
        <v>29</v>
      </c>
      <c r="P748" s="13" t="s">
        <v>4174</v>
      </c>
      <c r="Q748" s="13" t="s">
        <v>4176</v>
      </c>
      <c r="R748" s="11">
        <v>-34.911106004388003</v>
      </c>
      <c r="T748" s="11">
        <v>-8.1241146495777397</v>
      </c>
      <c r="U748" s="11">
        <v>-34.911106004388003</v>
      </c>
    </row>
    <row r="749" spans="1:21">
      <c r="A749" s="11" t="s">
        <v>4177</v>
      </c>
      <c r="G749" s="11" t="s">
        <v>4178</v>
      </c>
      <c r="H749" s="11">
        <v>10</v>
      </c>
      <c r="J749" s="11" t="s">
        <v>4179</v>
      </c>
      <c r="K749" s="11" t="s">
        <v>3555</v>
      </c>
      <c r="L749" s="11" t="s">
        <v>4180</v>
      </c>
      <c r="M749" s="11" t="s">
        <v>86</v>
      </c>
      <c r="P749" s="13" t="s">
        <v>4179</v>
      </c>
      <c r="Q749" s="13" t="s">
        <v>4181</v>
      </c>
      <c r="R749" s="11">
        <v>-42.222422204292201</v>
      </c>
      <c r="T749" s="11">
        <v>-14.503800012134199</v>
      </c>
      <c r="U749" s="11">
        <v>-42.222422204292201</v>
      </c>
    </row>
    <row r="750" spans="1:21">
      <c r="A750" s="11" t="s">
        <v>4182</v>
      </c>
      <c r="G750" s="11" t="s">
        <v>4183</v>
      </c>
      <c r="H750" s="11">
        <v>175</v>
      </c>
      <c r="I750" s="11" t="s">
        <v>4184</v>
      </c>
      <c r="J750" s="11" t="s">
        <v>4185</v>
      </c>
      <c r="L750" s="11" t="s">
        <v>4186</v>
      </c>
      <c r="M750" s="11" t="s">
        <v>404</v>
      </c>
      <c r="P750" s="13" t="s">
        <v>4185</v>
      </c>
      <c r="Q750" s="13" t="s">
        <v>4187</v>
      </c>
      <c r="R750" s="11">
        <v>-44.430382004257702</v>
      </c>
      <c r="T750" s="11">
        <v>-16.212897484487598</v>
      </c>
      <c r="U750" s="11">
        <v>-44.430382004257702</v>
      </c>
    </row>
    <row r="751" spans="1:21">
      <c r="A751" s="11" t="s">
        <v>4188</v>
      </c>
      <c r="G751" s="11" t="s">
        <v>4189</v>
      </c>
      <c r="H751" s="11">
        <v>2113</v>
      </c>
      <c r="I751" s="11" t="s">
        <v>4190</v>
      </c>
      <c r="J751" s="11" t="s">
        <v>4191</v>
      </c>
      <c r="K751" s="11" t="s">
        <v>4192</v>
      </c>
      <c r="L751" s="11" t="s">
        <v>4193</v>
      </c>
      <c r="M751" s="11" t="s">
        <v>225</v>
      </c>
      <c r="P751" s="13" t="s">
        <v>4191</v>
      </c>
      <c r="Q751" s="13" t="s">
        <v>4194</v>
      </c>
      <c r="R751" s="11">
        <v>-48.689420402539298</v>
      </c>
      <c r="T751" s="11">
        <v>-1.5188767193152599</v>
      </c>
      <c r="U751" s="11">
        <v>-48.689420402539298</v>
      </c>
    </row>
    <row r="752" spans="1:21">
      <c r="A752" s="11" t="s">
        <v>4195</v>
      </c>
      <c r="G752" s="11" t="s">
        <v>4196</v>
      </c>
      <c r="H752" s="11">
        <v>399</v>
      </c>
      <c r="I752" s="11" t="s">
        <v>4197</v>
      </c>
      <c r="J752" s="11" t="s">
        <v>4198</v>
      </c>
      <c r="K752" s="11" t="s">
        <v>4199</v>
      </c>
      <c r="L752" s="11" t="s">
        <v>3972</v>
      </c>
      <c r="M752" s="11" t="s">
        <v>723</v>
      </c>
      <c r="P752" s="13" t="s">
        <v>4198</v>
      </c>
      <c r="Q752" s="13" t="s">
        <v>4200</v>
      </c>
      <c r="R752" s="11">
        <v>-49.259681575643199</v>
      </c>
      <c r="T752" s="11">
        <v>-16.659498084108701</v>
      </c>
      <c r="U752" s="11">
        <v>-49.259681575643199</v>
      </c>
    </row>
    <row r="753" spans="1:21">
      <c r="A753" s="11" t="s">
        <v>4201</v>
      </c>
      <c r="G753" s="11" t="s">
        <v>4202</v>
      </c>
      <c r="H753" s="11">
        <v>56</v>
      </c>
      <c r="J753" s="11" t="s">
        <v>4203</v>
      </c>
      <c r="K753" s="11" t="s">
        <v>39</v>
      </c>
      <c r="L753" s="11" t="s">
        <v>290</v>
      </c>
      <c r="M753" s="11" t="s">
        <v>215</v>
      </c>
      <c r="P753" s="13" t="s">
        <v>4203</v>
      </c>
      <c r="Q753" s="13" t="s">
        <v>4204</v>
      </c>
      <c r="R753" s="11">
        <v>-36.021373104646003</v>
      </c>
      <c r="T753" s="11">
        <v>-6.2306428937575298</v>
      </c>
      <c r="U753" s="11">
        <v>-36.021373104646003</v>
      </c>
    </row>
    <row r="754" spans="1:21">
      <c r="A754" s="11" t="s">
        <v>4205</v>
      </c>
      <c r="G754" s="11" t="s">
        <v>4206</v>
      </c>
      <c r="H754" s="11">
        <v>58</v>
      </c>
      <c r="I754" s="11" t="s">
        <v>4207</v>
      </c>
      <c r="J754" s="11" t="s">
        <v>4208</v>
      </c>
      <c r="L754" s="11" t="s">
        <v>4209</v>
      </c>
      <c r="M754" s="11" t="s">
        <v>49</v>
      </c>
      <c r="P754" s="13" t="s">
        <v>4208</v>
      </c>
      <c r="Q754" s="13" t="s">
        <v>4210</v>
      </c>
      <c r="R754" s="11">
        <v>-37.660592933418201</v>
      </c>
      <c r="T754" s="11">
        <v>-11.381874506645101</v>
      </c>
      <c r="U754" s="11">
        <v>-37.660592933418201</v>
      </c>
    </row>
    <row r="756" spans="1:21">
      <c r="A756" s="11" t="s">
        <v>4211</v>
      </c>
      <c r="G756" s="11" t="s">
        <v>4212</v>
      </c>
      <c r="H756" s="11">
        <v>689</v>
      </c>
      <c r="I756" s="11" t="s">
        <v>4213</v>
      </c>
      <c r="J756" s="11" t="s">
        <v>4214</v>
      </c>
      <c r="K756" s="11" t="s">
        <v>3652</v>
      </c>
      <c r="L756" s="11" t="s">
        <v>2803</v>
      </c>
      <c r="M756" s="11" t="s">
        <v>68</v>
      </c>
      <c r="P756" s="13" t="s">
        <v>4214</v>
      </c>
      <c r="Q756" s="13" t="s">
        <v>4215</v>
      </c>
      <c r="R756" s="11">
        <v>-41.777535766611699</v>
      </c>
      <c r="T756" s="11">
        <v>-22.3761862027565</v>
      </c>
      <c r="U756" s="11">
        <v>-41.777535766611699</v>
      </c>
    </row>
    <row r="757" spans="1:21">
      <c r="A757" s="11" t="s">
        <v>4216</v>
      </c>
      <c r="G757" s="11" t="s">
        <v>4217</v>
      </c>
      <c r="H757" s="11">
        <v>3707</v>
      </c>
      <c r="J757" s="11" t="s">
        <v>4218</v>
      </c>
      <c r="K757" s="11" t="s">
        <v>4219</v>
      </c>
      <c r="L757" s="11" t="s">
        <v>4220</v>
      </c>
      <c r="M757" s="11" t="s">
        <v>86</v>
      </c>
      <c r="P757" s="13" t="s">
        <v>4218</v>
      </c>
      <c r="Q757" s="13" t="s">
        <v>4221</v>
      </c>
      <c r="R757" s="11">
        <v>-44.962841988357503</v>
      </c>
      <c r="T757" s="11">
        <v>-12.1403049796487</v>
      </c>
      <c r="U757" s="11">
        <v>-44.962841988357503</v>
      </c>
    </row>
    <row r="758" spans="1:21">
      <c r="A758" s="11" t="s">
        <v>4222</v>
      </c>
      <c r="G758" s="11" t="s">
        <v>4223</v>
      </c>
      <c r="J758" s="11" t="s">
        <v>4224</v>
      </c>
      <c r="K758" s="11" t="s">
        <v>4225</v>
      </c>
      <c r="L758" s="11" t="s">
        <v>755</v>
      </c>
      <c r="M758" s="11" t="s">
        <v>86</v>
      </c>
      <c r="P758" s="13" t="s">
        <v>4224</v>
      </c>
      <c r="Q758" s="13" t="s">
        <v>4226</v>
      </c>
      <c r="R758" s="11">
        <v>-38.407943533391702</v>
      </c>
      <c r="T758" s="11">
        <v>-12.9388415616702</v>
      </c>
      <c r="U758" s="11">
        <v>-38.407943533391702</v>
      </c>
    </row>
    <row r="759" spans="1:21">
      <c r="A759" s="11" t="s">
        <v>4227</v>
      </c>
      <c r="G759" s="11" t="s">
        <v>4228</v>
      </c>
      <c r="H759" s="11">
        <v>331</v>
      </c>
      <c r="J759" s="11" t="s">
        <v>4229</v>
      </c>
      <c r="K759" s="11" t="s">
        <v>3555</v>
      </c>
      <c r="L759" s="11" t="s">
        <v>4230</v>
      </c>
      <c r="M759" s="11" t="s">
        <v>354</v>
      </c>
      <c r="P759" s="13" t="s">
        <v>4229</v>
      </c>
      <c r="Q759" s="13" t="s">
        <v>4231</v>
      </c>
      <c r="R759" s="11">
        <v>-40.340996033500403</v>
      </c>
      <c r="T759" s="11">
        <v>-3.5264184879266298</v>
      </c>
      <c r="U759" s="11">
        <v>-40.340996033500403</v>
      </c>
    </row>
    <row r="761" spans="1:21">
      <c r="A761" s="11" t="s">
        <v>4232</v>
      </c>
      <c r="G761" s="11" t="s">
        <v>4233</v>
      </c>
      <c r="H761" s="11">
        <v>36</v>
      </c>
      <c r="J761" s="11" t="s">
        <v>4234</v>
      </c>
      <c r="K761" s="11" t="s">
        <v>39</v>
      </c>
      <c r="L761" s="11" t="s">
        <v>4235</v>
      </c>
      <c r="M761" s="11" t="s">
        <v>29</v>
      </c>
      <c r="P761" s="13" t="s">
        <v>4234</v>
      </c>
      <c r="Q761" s="13" t="s">
        <v>4236</v>
      </c>
      <c r="R761" s="11">
        <v>-35.296024204627003</v>
      </c>
      <c r="T761" s="11">
        <v>-8.1178818919114999</v>
      </c>
      <c r="U761" s="11">
        <v>-35.296024204627003</v>
      </c>
    </row>
    <row r="762" spans="1:21">
      <c r="A762" s="11" t="s">
        <v>4237</v>
      </c>
      <c r="G762" s="11" t="s">
        <v>4238</v>
      </c>
      <c r="I762" s="11" t="s">
        <v>4239</v>
      </c>
      <c r="J762" s="11" t="s">
        <v>4240</v>
      </c>
      <c r="K762" s="11" t="s">
        <v>4241</v>
      </c>
      <c r="L762" s="11" t="s">
        <v>4242</v>
      </c>
      <c r="M762" s="11" t="s">
        <v>86</v>
      </c>
      <c r="P762" s="13" t="s">
        <v>4240</v>
      </c>
      <c r="Q762" s="13" t="s">
        <v>4243</v>
      </c>
      <c r="R762" s="11">
        <v>-37.882431691073201</v>
      </c>
      <c r="T762" s="11">
        <v>-12.3874010297518</v>
      </c>
      <c r="U762" s="11">
        <v>-37.882431691073201</v>
      </c>
    </row>
    <row r="763" spans="1:21">
      <c r="A763" s="11" t="s">
        <v>4244</v>
      </c>
      <c r="G763" s="11" t="s">
        <v>4245</v>
      </c>
      <c r="I763" s="11" t="s">
        <v>4246</v>
      </c>
      <c r="J763" s="11" t="s">
        <v>4247</v>
      </c>
      <c r="K763" s="11" t="s">
        <v>4248</v>
      </c>
      <c r="L763" s="11" t="s">
        <v>1038</v>
      </c>
      <c r="M763" s="11" t="s">
        <v>1039</v>
      </c>
      <c r="P763" s="13" t="s">
        <v>4247</v>
      </c>
      <c r="Q763" s="13" t="s">
        <v>4249</v>
      </c>
      <c r="R763" s="11">
        <v>-60.001605062338498</v>
      </c>
      <c r="T763" s="11">
        <v>-3.0298536107844201</v>
      </c>
      <c r="U763" s="11">
        <v>-60.001605062338498</v>
      </c>
    </row>
    <row r="764" spans="1:21">
      <c r="A764" s="11" t="s">
        <v>4250</v>
      </c>
      <c r="G764" s="11" t="s">
        <v>4251</v>
      </c>
      <c r="H764" s="11">
        <v>839</v>
      </c>
      <c r="J764" s="11" t="s">
        <v>4252</v>
      </c>
      <c r="K764" s="11" t="s">
        <v>3555</v>
      </c>
      <c r="L764" s="11" t="s">
        <v>4253</v>
      </c>
      <c r="M764" s="11" t="s">
        <v>404</v>
      </c>
      <c r="P764" s="13" t="s">
        <v>4252</v>
      </c>
      <c r="Q764" s="13" t="s">
        <v>4254</v>
      </c>
      <c r="R764" s="11">
        <v>-48.201528704430103</v>
      </c>
      <c r="T764" s="11">
        <v>-18.6573123223735</v>
      </c>
      <c r="U764" s="11">
        <v>-48.201528704430103</v>
      </c>
    </row>
    <row r="765" spans="1:21">
      <c r="A765" s="11" t="s">
        <v>4255</v>
      </c>
      <c r="G765" s="11" t="s">
        <v>4256</v>
      </c>
      <c r="H765" s="11">
        <v>620</v>
      </c>
      <c r="I765" s="11" t="s">
        <v>4257</v>
      </c>
      <c r="J765" s="11" t="s">
        <v>4258</v>
      </c>
      <c r="K765" s="11" t="s">
        <v>4259</v>
      </c>
      <c r="L765" s="11" t="s">
        <v>171</v>
      </c>
      <c r="M765" s="11" t="s">
        <v>86</v>
      </c>
      <c r="P765" s="13" t="s">
        <v>4258</v>
      </c>
      <c r="Q765" s="13" t="s">
        <v>4260</v>
      </c>
      <c r="R765" s="11">
        <v>-40.515484404610604</v>
      </c>
      <c r="T765" s="11">
        <v>-9.4378454906406901</v>
      </c>
      <c r="U765" s="11">
        <v>-40.515484404610604</v>
      </c>
    </row>
    <row r="766" spans="1:21">
      <c r="A766" s="11" t="s">
        <v>4261</v>
      </c>
      <c r="G766" s="11" t="s">
        <v>4262</v>
      </c>
      <c r="H766" s="11">
        <v>4269</v>
      </c>
      <c r="I766" s="11" t="s">
        <v>3806</v>
      </c>
      <c r="J766" s="11" t="s">
        <v>4263</v>
      </c>
      <c r="K766" s="11" t="s">
        <v>4264</v>
      </c>
      <c r="L766" s="11" t="s">
        <v>4265</v>
      </c>
      <c r="M766" s="11" t="s">
        <v>1561</v>
      </c>
      <c r="P766" s="13" t="s">
        <v>4263</v>
      </c>
      <c r="Q766" s="13" t="s">
        <v>4266</v>
      </c>
      <c r="R766" s="11">
        <v>-54.644131096312499</v>
      </c>
      <c r="T766" s="11">
        <v>-16.466190608064601</v>
      </c>
      <c r="U766" s="11">
        <v>-54.644131096312499</v>
      </c>
    </row>
    <row r="767" spans="1:21">
      <c r="A767" s="11" t="s">
        <v>4267</v>
      </c>
      <c r="G767" s="11" t="s">
        <v>4268</v>
      </c>
      <c r="H767" s="11">
        <v>84</v>
      </c>
      <c r="J767" s="11" t="s">
        <v>4269</v>
      </c>
      <c r="L767" s="11" t="s">
        <v>4270</v>
      </c>
      <c r="M767" s="11" t="s">
        <v>86</v>
      </c>
      <c r="P767" s="13" t="s">
        <v>4269</v>
      </c>
      <c r="Q767" s="13" t="s">
        <v>4271</v>
      </c>
      <c r="R767" s="11">
        <v>-39.487736088161</v>
      </c>
      <c r="T767" s="11">
        <v>-13.7451139522137</v>
      </c>
      <c r="U767" s="11">
        <v>-39.487736088161</v>
      </c>
    </row>
    <row r="768" spans="1:21">
      <c r="A768" s="11" t="s">
        <v>4272</v>
      </c>
      <c r="G768" s="11" t="s">
        <v>4273</v>
      </c>
      <c r="H768" s="11">
        <v>5701</v>
      </c>
      <c r="J768" s="11" t="s">
        <v>4274</v>
      </c>
      <c r="K768" s="11" t="s">
        <v>4275</v>
      </c>
      <c r="L768" s="11" t="s">
        <v>4276</v>
      </c>
      <c r="M768" s="11" t="s">
        <v>78</v>
      </c>
      <c r="P768" s="13" t="s">
        <v>4274</v>
      </c>
      <c r="Q768" s="13" t="s">
        <v>4277</v>
      </c>
      <c r="R768" s="11">
        <v>-45.905807204076801</v>
      </c>
      <c r="T768" s="11">
        <v>-23.222826000334301</v>
      </c>
      <c r="U768" s="11">
        <v>-45.905807204076801</v>
      </c>
    </row>
    <row r="769" spans="1:21">
      <c r="A769" s="11" t="s">
        <v>4278</v>
      </c>
      <c r="G769" s="11" t="s">
        <v>4279</v>
      </c>
      <c r="H769" s="11">
        <v>353</v>
      </c>
      <c r="J769" s="11" t="s">
        <v>4280</v>
      </c>
      <c r="K769" s="11" t="s">
        <v>4281</v>
      </c>
      <c r="L769" s="11" t="s">
        <v>4282</v>
      </c>
      <c r="M769" s="11" t="s">
        <v>918</v>
      </c>
      <c r="P769" s="13" t="s">
        <v>4280</v>
      </c>
      <c r="Q769" s="13" t="s">
        <v>4283</v>
      </c>
      <c r="R769" s="11">
        <v>-40.288782932994202</v>
      </c>
      <c r="T769" s="11">
        <v>-20.341834821405399</v>
      </c>
      <c r="U769" s="11">
        <v>-40.288782932994202</v>
      </c>
    </row>
    <row r="770" spans="1:21">
      <c r="A770" s="11" t="s">
        <v>4284</v>
      </c>
      <c r="G770" s="11" t="s">
        <v>4285</v>
      </c>
      <c r="H770" s="11">
        <v>650</v>
      </c>
      <c r="J770" s="11" t="s">
        <v>3106</v>
      </c>
      <c r="K770" s="11" t="s">
        <v>4286</v>
      </c>
      <c r="L770" s="11" t="s">
        <v>4287</v>
      </c>
      <c r="M770" s="11" t="s">
        <v>404</v>
      </c>
      <c r="P770" s="13" t="s">
        <v>3106</v>
      </c>
      <c r="Q770" s="13" t="s">
        <v>4288</v>
      </c>
      <c r="R770" s="11">
        <v>-43.309931033102302</v>
      </c>
      <c r="T770" s="11">
        <v>-15.7994217848416</v>
      </c>
      <c r="U770" s="11">
        <v>-43.309931033102302</v>
      </c>
    </row>
    <row r="771" spans="1:21">
      <c r="A771" s="11" t="s">
        <v>4289</v>
      </c>
      <c r="G771" s="11" t="s">
        <v>4290</v>
      </c>
      <c r="H771" s="11">
        <v>1359</v>
      </c>
      <c r="I771" s="11" t="s">
        <v>4291</v>
      </c>
      <c r="J771" s="11" t="s">
        <v>4292</v>
      </c>
      <c r="K771" s="11" t="s">
        <v>1037</v>
      </c>
      <c r="L771" s="11" t="s">
        <v>1038</v>
      </c>
      <c r="M771" s="11" t="s">
        <v>1039</v>
      </c>
      <c r="P771" s="13" t="s">
        <v>4292</v>
      </c>
      <c r="Q771" s="13" t="s">
        <v>4293</v>
      </c>
      <c r="R771" s="11">
        <v>-59.980797960178997</v>
      </c>
      <c r="T771" s="11">
        <v>-3.00299036096215</v>
      </c>
      <c r="U771" s="11">
        <v>-59.980797960178997</v>
      </c>
    </row>
    <row r="773" spans="1:21">
      <c r="A773" s="11" t="s">
        <v>4294</v>
      </c>
      <c r="G773" s="11" t="s">
        <v>4295</v>
      </c>
      <c r="H773" s="11">
        <v>202</v>
      </c>
      <c r="I773" s="11" t="s">
        <v>4296</v>
      </c>
      <c r="J773" s="11" t="s">
        <v>4297</v>
      </c>
      <c r="K773" s="11" t="s">
        <v>233</v>
      </c>
      <c r="L773" s="11" t="s">
        <v>77</v>
      </c>
      <c r="M773" s="11" t="s">
        <v>78</v>
      </c>
      <c r="P773" s="13" t="s">
        <v>4297</v>
      </c>
      <c r="Q773" s="13" t="s">
        <v>4298</v>
      </c>
      <c r="R773" s="11">
        <v>-59.9809336357036</v>
      </c>
      <c r="T773" s="11">
        <v>-3.0029317795429602</v>
      </c>
      <c r="U773" s="11">
        <v>-59.9809336357036</v>
      </c>
    </row>
    <row r="774" spans="1:21">
      <c r="A774" s="11" t="s">
        <v>4299</v>
      </c>
      <c r="G774" s="11" t="s">
        <v>4300</v>
      </c>
      <c r="H774" s="11">
        <v>45</v>
      </c>
      <c r="J774" s="11" t="s">
        <v>4301</v>
      </c>
      <c r="K774" s="11" t="s">
        <v>3555</v>
      </c>
      <c r="L774" s="11" t="s">
        <v>233</v>
      </c>
      <c r="M774" s="11" t="s">
        <v>86</v>
      </c>
      <c r="P774" s="13" t="s">
        <v>4301</v>
      </c>
      <c r="Q774" s="13" t="s">
        <v>4302</v>
      </c>
      <c r="R774" s="11">
        <v>-38.708262533163001</v>
      </c>
      <c r="T774" s="11">
        <v>-12.547832915152799</v>
      </c>
      <c r="U774" s="11">
        <v>-38.708262533163001</v>
      </c>
    </row>
    <row r="776" spans="1:21">
      <c r="A776" s="11" t="s">
        <v>4303</v>
      </c>
      <c r="G776" s="11" t="s">
        <v>4304</v>
      </c>
      <c r="H776" s="11">
        <v>169</v>
      </c>
      <c r="J776" s="11" t="s">
        <v>4305</v>
      </c>
      <c r="L776" s="11" t="s">
        <v>4306</v>
      </c>
      <c r="M776" s="11" t="s">
        <v>147</v>
      </c>
      <c r="P776" s="13" t="s">
        <v>4305</v>
      </c>
      <c r="Q776" s="13" t="s">
        <v>4307</v>
      </c>
      <c r="R776" s="11">
        <v>-35.534586204376097</v>
      </c>
      <c r="T776" s="11">
        <v>-9.1566059303184595</v>
      </c>
      <c r="U776" s="11">
        <v>-35.534586204376097</v>
      </c>
    </row>
    <row r="778" spans="1:21">
      <c r="A778" s="11" t="s">
        <v>4308</v>
      </c>
      <c r="G778" s="11" t="s">
        <v>4309</v>
      </c>
      <c r="H778" s="11">
        <v>2904</v>
      </c>
      <c r="J778" s="11" t="s">
        <v>4310</v>
      </c>
      <c r="L778" s="11" t="s">
        <v>4311</v>
      </c>
      <c r="M778" s="11" t="s">
        <v>2618</v>
      </c>
      <c r="P778" s="13" t="s">
        <v>4310</v>
      </c>
      <c r="Q778" s="13" t="s">
        <v>4312</v>
      </c>
      <c r="R778" s="11">
        <v>-62.469603790867097</v>
      </c>
      <c r="T778" s="11">
        <v>-10.4378934409848</v>
      </c>
      <c r="U778" s="11">
        <v>-62.469603790867097</v>
      </c>
    </row>
    <row r="779" spans="1:21">
      <c r="A779" s="11" t="s">
        <v>4313</v>
      </c>
      <c r="G779" s="11" t="s">
        <v>4314</v>
      </c>
      <c r="H779" s="11">
        <v>59</v>
      </c>
      <c r="I779" s="11" t="s">
        <v>4315</v>
      </c>
      <c r="J779" s="11">
        <v>4940000</v>
      </c>
      <c r="K779" s="11" t="s">
        <v>3652</v>
      </c>
      <c r="L779" s="11" t="s">
        <v>4316</v>
      </c>
      <c r="M779" s="11" t="s">
        <v>49</v>
      </c>
      <c r="P779" s="13" t="s">
        <v>4317</v>
      </c>
      <c r="Q779" s="13" t="s">
        <v>4318</v>
      </c>
      <c r="R779" s="11">
        <v>-37.671177117327296</v>
      </c>
      <c r="T779" s="11">
        <v>-10.9154132225949</v>
      </c>
      <c r="U779" s="11">
        <v>-37.671177117327296</v>
      </c>
    </row>
    <row r="780" spans="1:21">
      <c r="A780" s="11" t="s">
        <v>4319</v>
      </c>
      <c r="G780" s="11" t="s">
        <v>4320</v>
      </c>
      <c r="H780" s="11">
        <v>127</v>
      </c>
      <c r="J780" s="11" t="s">
        <v>4321</v>
      </c>
      <c r="K780" s="11" t="s">
        <v>3652</v>
      </c>
      <c r="L780" s="11" t="s">
        <v>4322</v>
      </c>
      <c r="M780" s="11" t="s">
        <v>404</v>
      </c>
      <c r="P780" s="13" t="s">
        <v>4321</v>
      </c>
      <c r="Q780" s="13" t="s">
        <v>4323</v>
      </c>
      <c r="R780" s="11">
        <v>-43.026596704499802</v>
      </c>
      <c r="T780" s="11">
        <v>-15.741849832015401</v>
      </c>
      <c r="U780" s="11">
        <v>-43.026596704499802</v>
      </c>
    </row>
    <row r="781" spans="1:21">
      <c r="A781" s="11" t="s">
        <v>4324</v>
      </c>
      <c r="G781" s="11" t="s">
        <v>4325</v>
      </c>
      <c r="I781" s="11" t="s">
        <v>4326</v>
      </c>
      <c r="J781" s="11" t="s">
        <v>4327</v>
      </c>
      <c r="L781" s="11" t="s">
        <v>4328</v>
      </c>
      <c r="M781" s="11" t="s">
        <v>281</v>
      </c>
      <c r="P781" s="13" t="s">
        <v>4327</v>
      </c>
      <c r="Q781" s="13" t="s">
        <v>4329</v>
      </c>
      <c r="R781" s="11">
        <v>-47.4326676046431</v>
      </c>
      <c r="T781" s="11">
        <v>-6.5499120994094602</v>
      </c>
      <c r="U781" s="11">
        <v>-47.4326676046431</v>
      </c>
    </row>
    <row r="782" spans="1:21">
      <c r="A782" s="11" t="s">
        <v>4330</v>
      </c>
      <c r="G782" s="11" t="s">
        <v>4331</v>
      </c>
      <c r="H782" s="11">
        <v>128</v>
      </c>
      <c r="J782" s="11" t="s">
        <v>4332</v>
      </c>
      <c r="K782" s="11" t="s">
        <v>3555</v>
      </c>
      <c r="L782" s="11" t="s">
        <v>4333</v>
      </c>
      <c r="M782" s="11" t="s">
        <v>78</v>
      </c>
      <c r="P782" s="13" t="s">
        <v>4332</v>
      </c>
      <c r="Q782" s="13" t="s">
        <v>4334</v>
      </c>
      <c r="R782" s="11">
        <v>-51.173287790839602</v>
      </c>
      <c r="T782" s="11">
        <v>-22.146420217097901</v>
      </c>
      <c r="U782" s="11">
        <v>-51.173287790839602</v>
      </c>
    </row>
    <row r="783" spans="1:21">
      <c r="A783" s="11" t="s">
        <v>4335</v>
      </c>
      <c r="G783" s="11" t="s">
        <v>4336</v>
      </c>
      <c r="H783" s="11">
        <v>813</v>
      </c>
      <c r="J783" s="11" t="s">
        <v>4337</v>
      </c>
      <c r="K783" s="11" t="s">
        <v>4338</v>
      </c>
      <c r="L783" s="11" t="s">
        <v>2386</v>
      </c>
      <c r="M783" s="11" t="s">
        <v>918</v>
      </c>
      <c r="P783" s="13" t="s">
        <v>4337</v>
      </c>
      <c r="Q783" s="13" t="s">
        <v>4339</v>
      </c>
      <c r="R783" s="11">
        <v>-40.287595411943897</v>
      </c>
      <c r="T783" s="13" t="s">
        <v>4339</v>
      </c>
      <c r="U783" s="11">
        <v>-40.287595411943897</v>
      </c>
    </row>
    <row r="784" spans="1:21">
      <c r="A784" s="11" t="s">
        <v>4340</v>
      </c>
      <c r="G784" s="11" t="s">
        <v>4341</v>
      </c>
      <c r="H784" s="11">
        <v>808</v>
      </c>
      <c r="J784" s="11" t="s">
        <v>4342</v>
      </c>
      <c r="K784" s="11" t="s">
        <v>3555</v>
      </c>
      <c r="L784" s="11" t="s">
        <v>4343</v>
      </c>
      <c r="M784" s="11" t="s">
        <v>918</v>
      </c>
      <c r="P784" s="13" t="s">
        <v>4342</v>
      </c>
      <c r="Q784" s="13" t="s">
        <v>4344</v>
      </c>
      <c r="R784" s="11">
        <v>-40.660469090891702</v>
      </c>
      <c r="T784" s="13" t="s">
        <v>4344</v>
      </c>
      <c r="U784" s="11">
        <v>-40.660469090891702</v>
      </c>
    </row>
    <row r="785" spans="1:21">
      <c r="A785" s="11" t="s">
        <v>4345</v>
      </c>
      <c r="G785" s="11" t="s">
        <v>4346</v>
      </c>
      <c r="H785" s="11">
        <v>1980</v>
      </c>
      <c r="I785" s="11" t="s">
        <v>4347</v>
      </c>
      <c r="J785" s="11" t="s">
        <v>4348</v>
      </c>
      <c r="K785" s="11" t="s">
        <v>4349</v>
      </c>
      <c r="L785" s="11" t="s">
        <v>77</v>
      </c>
      <c r="M785" s="11" t="s">
        <v>78</v>
      </c>
      <c r="P785" s="13" t="s">
        <v>4348</v>
      </c>
      <c r="Q785" s="13" t="s">
        <v>4350</v>
      </c>
      <c r="R785" s="11">
        <v>-46.445745361738503</v>
      </c>
      <c r="T785" s="11">
        <v>-23.549961478807599</v>
      </c>
      <c r="U785" s="11">
        <v>-46.445745361738503</v>
      </c>
    </row>
    <row r="786" spans="1:21">
      <c r="A786" s="11" t="s">
        <v>4351</v>
      </c>
      <c r="G786" s="11" t="s">
        <v>4352</v>
      </c>
      <c r="H786" s="11">
        <v>487</v>
      </c>
      <c r="J786" s="11" t="s">
        <v>4353</v>
      </c>
      <c r="L786" s="11" t="s">
        <v>4354</v>
      </c>
      <c r="M786" s="11" t="s">
        <v>354</v>
      </c>
      <c r="P786" s="13" t="s">
        <v>4353</v>
      </c>
      <c r="Q786" s="13" t="s">
        <v>4355</v>
      </c>
      <c r="R786" s="11">
        <v>-39.8792641044069</v>
      </c>
      <c r="T786" s="11">
        <v>-6.1338575938529898</v>
      </c>
      <c r="U786" s="11">
        <v>-39.8792641044069</v>
      </c>
    </row>
    <row r="787" spans="1:21">
      <c r="A787" s="11" t="s">
        <v>4356</v>
      </c>
      <c r="G787" s="11" t="s">
        <v>4357</v>
      </c>
      <c r="H787" s="11">
        <v>11980</v>
      </c>
      <c r="J787" s="11" t="s">
        <v>4358</v>
      </c>
      <c r="K787" s="11" t="s">
        <v>4359</v>
      </c>
      <c r="L787" s="11" t="s">
        <v>77</v>
      </c>
      <c r="M787" s="11" t="s">
        <v>78</v>
      </c>
      <c r="P787" s="13" t="s">
        <v>4358</v>
      </c>
      <c r="Q787" s="13" t="s">
        <v>4360</v>
      </c>
      <c r="R787" s="11">
        <v>-46.820045999999998</v>
      </c>
      <c r="T787" s="11">
        <v>-23.524487000000001</v>
      </c>
      <c r="U787" s="11">
        <v>-46.820045999999998</v>
      </c>
    </row>
    <row r="788" spans="1:21">
      <c r="A788" s="11" t="s">
        <v>4361</v>
      </c>
      <c r="G788" s="11" t="s">
        <v>4362</v>
      </c>
      <c r="H788" s="11">
        <v>213</v>
      </c>
      <c r="J788" s="11" t="s">
        <v>4363</v>
      </c>
      <c r="K788" s="11" t="s">
        <v>39</v>
      </c>
      <c r="L788" s="11" t="s">
        <v>4364</v>
      </c>
      <c r="M788" s="11" t="s">
        <v>354</v>
      </c>
      <c r="P788" s="11" t="s">
        <v>4363</v>
      </c>
      <c r="Q788" s="13" t="s">
        <v>4365</v>
      </c>
      <c r="R788" s="11">
        <v>-39.315899000000002</v>
      </c>
      <c r="T788" s="13" t="s">
        <v>4365</v>
      </c>
      <c r="U788" s="11">
        <v>-39.315899000000002</v>
      </c>
    </row>
    <row r="789" spans="1:21">
      <c r="A789" s="11" t="s">
        <v>4366</v>
      </c>
      <c r="G789" s="11" t="s">
        <v>4367</v>
      </c>
      <c r="H789" s="11">
        <v>2569</v>
      </c>
      <c r="J789" s="11" t="s">
        <v>4368</v>
      </c>
      <c r="K789" s="11" t="s">
        <v>4369</v>
      </c>
      <c r="L789" s="11" t="s">
        <v>4370</v>
      </c>
      <c r="M789" s="11" t="s">
        <v>354</v>
      </c>
      <c r="P789" s="11" t="s">
        <v>4368</v>
      </c>
      <c r="Q789" s="13" t="s">
        <v>4371</v>
      </c>
      <c r="R789" s="11">
        <v>-39.316028000000003</v>
      </c>
      <c r="T789" s="13" t="s">
        <v>4371</v>
      </c>
      <c r="U789" s="11">
        <v>-39.316028000000003</v>
      </c>
    </row>
    <row r="790" spans="1:21">
      <c r="A790" s="11" t="s">
        <v>4372</v>
      </c>
      <c r="G790" s="11" t="s">
        <v>4373</v>
      </c>
      <c r="H790" s="11">
        <v>1200</v>
      </c>
      <c r="J790" s="11" t="s">
        <v>4374</v>
      </c>
      <c r="K790" s="11" t="s">
        <v>1198</v>
      </c>
      <c r="L790" s="11" t="s">
        <v>3630</v>
      </c>
      <c r="M790" s="11" t="s">
        <v>68</v>
      </c>
      <c r="P790" s="11" t="s">
        <v>4374</v>
      </c>
      <c r="Q790" s="13" t="s">
        <v>4375</v>
      </c>
      <c r="R790" s="11">
        <v>-43.573757000000001</v>
      </c>
      <c r="T790" s="13" t="s">
        <v>4375</v>
      </c>
      <c r="U790" s="11">
        <v>-43.573757000000001</v>
      </c>
    </row>
    <row r="791" spans="1:21">
      <c r="A791" s="11" t="s">
        <v>4376</v>
      </c>
      <c r="G791" s="11" t="s">
        <v>3588</v>
      </c>
      <c r="H791" s="11">
        <v>7796</v>
      </c>
      <c r="J791" s="11" t="s">
        <v>3590</v>
      </c>
      <c r="K791" s="11" t="s">
        <v>3591</v>
      </c>
      <c r="L791" s="11" t="s">
        <v>4377</v>
      </c>
      <c r="M791" s="11" t="s">
        <v>215</v>
      </c>
      <c r="P791" s="11" t="s">
        <v>3590</v>
      </c>
      <c r="Q791" s="13" t="s">
        <v>4378</v>
      </c>
      <c r="R791" s="11">
        <v>-35.218552000000003</v>
      </c>
      <c r="T791" s="13" t="s">
        <v>4378</v>
      </c>
      <c r="U791" s="11">
        <v>-35.218552000000003</v>
      </c>
    </row>
    <row r="792" spans="1:21">
      <c r="A792" s="11" t="s">
        <v>4379</v>
      </c>
      <c r="G792" s="11" t="s">
        <v>4044</v>
      </c>
      <c r="H792" s="11">
        <v>6345</v>
      </c>
      <c r="J792" s="11" t="s">
        <v>4380</v>
      </c>
      <c r="K792" s="11" t="s">
        <v>4381</v>
      </c>
      <c r="L792" s="11" t="s">
        <v>4382</v>
      </c>
      <c r="M792" s="11" t="s">
        <v>404</v>
      </c>
      <c r="P792" s="11" t="s">
        <v>4380</v>
      </c>
      <c r="Q792" s="13" t="s">
        <v>4383</v>
      </c>
      <c r="R792" s="11">
        <v>-43.370544000000002</v>
      </c>
      <c r="T792" s="13" t="s">
        <v>4383</v>
      </c>
      <c r="U792" s="11">
        <v>-43.370544000000002</v>
      </c>
    </row>
    <row r="793" spans="1:21">
      <c r="A793" s="11" t="s">
        <v>4384</v>
      </c>
      <c r="G793" s="11" t="s">
        <v>4385</v>
      </c>
      <c r="H793" s="11">
        <v>444</v>
      </c>
      <c r="J793" s="13" t="s">
        <v>4386</v>
      </c>
      <c r="K793" s="11" t="s">
        <v>39</v>
      </c>
      <c r="L793" s="11" t="s">
        <v>4159</v>
      </c>
      <c r="M793" s="11" t="s">
        <v>354</v>
      </c>
      <c r="P793" s="13" t="s">
        <v>4386</v>
      </c>
      <c r="Q793" s="13" t="s">
        <v>4387</v>
      </c>
      <c r="R793" s="11">
        <v>-38.531703</v>
      </c>
      <c r="T793" s="11">
        <v>-3.724097</v>
      </c>
      <c r="U793" s="11">
        <v>-38.531703</v>
      </c>
    </row>
    <row r="794" spans="1:21">
      <c r="A794" s="11" t="s">
        <v>4388</v>
      </c>
      <c r="G794" s="11" t="s">
        <v>4389</v>
      </c>
      <c r="H794" s="11">
        <v>305</v>
      </c>
      <c r="J794" s="13" t="s">
        <v>4390</v>
      </c>
      <c r="K794" s="11" t="s">
        <v>4391</v>
      </c>
      <c r="L794" s="11" t="s">
        <v>534</v>
      </c>
      <c r="M794" s="11" t="s">
        <v>535</v>
      </c>
      <c r="P794" s="13" t="s">
        <v>4390</v>
      </c>
      <c r="Q794" s="13" t="s">
        <v>4392</v>
      </c>
      <c r="R794" s="11">
        <v>-53.795160000000003</v>
      </c>
      <c r="T794" s="11">
        <v>-29.689484</v>
      </c>
      <c r="U794" s="11">
        <v>-53.795160000000003</v>
      </c>
    </row>
    <row r="795" spans="1:21">
      <c r="A795" s="11" t="s">
        <v>4393</v>
      </c>
      <c r="G795" s="11" t="s">
        <v>4394</v>
      </c>
      <c r="J795" s="11" t="s">
        <v>4395</v>
      </c>
      <c r="K795" s="11" t="s">
        <v>4396</v>
      </c>
      <c r="L795" s="11" t="s">
        <v>4397</v>
      </c>
      <c r="M795" s="11" t="s">
        <v>225</v>
      </c>
      <c r="P795" s="11" t="s">
        <v>4395</v>
      </c>
      <c r="Q795" s="13" t="s">
        <v>4398</v>
      </c>
      <c r="R795" s="11">
        <v>-52.220761852109298</v>
      </c>
      <c r="T795" s="13" t="s">
        <v>4398</v>
      </c>
      <c r="U795" s="11">
        <v>-52.220761852109298</v>
      </c>
    </row>
    <row r="796" spans="1:21">
      <c r="A796" s="11" t="s">
        <v>4399</v>
      </c>
      <c r="G796" s="11" t="s">
        <v>4400</v>
      </c>
      <c r="H796" s="11" t="s">
        <v>4401</v>
      </c>
      <c r="I796" s="11" t="s">
        <v>4402</v>
      </c>
      <c r="J796" s="11" t="s">
        <v>4403</v>
      </c>
      <c r="K796" s="11" t="s">
        <v>4404</v>
      </c>
      <c r="L796" s="11" t="s">
        <v>4405</v>
      </c>
      <c r="M796" s="11" t="s">
        <v>749</v>
      </c>
      <c r="P796" s="11" t="s">
        <v>4403</v>
      </c>
      <c r="Q796" s="13" t="s">
        <v>4406</v>
      </c>
      <c r="R796" s="11">
        <v>-48.044292697306297</v>
      </c>
      <c r="T796" s="11">
        <v>-15.8433098508818</v>
      </c>
      <c r="U796" s="11">
        <v>-48.044292697306297</v>
      </c>
    </row>
    <row r="797" spans="1:21">
      <c r="A797" s="11" t="s">
        <v>4407</v>
      </c>
      <c r="G797" s="11" t="s">
        <v>4408</v>
      </c>
      <c r="H797" s="11">
        <v>210</v>
      </c>
      <c r="J797" s="11">
        <v>75503090</v>
      </c>
      <c r="K797" s="11" t="s">
        <v>39</v>
      </c>
      <c r="L797" s="11" t="s">
        <v>4409</v>
      </c>
      <c r="M797" s="11" t="s">
        <v>723</v>
      </c>
      <c r="P797" s="13" t="s">
        <v>4410</v>
      </c>
      <c r="Q797" s="13" t="s">
        <v>4411</v>
      </c>
      <c r="R797" s="11">
        <v>-49.218824128836303</v>
      </c>
      <c r="T797" s="11">
        <v>-18.418480029520801</v>
      </c>
      <c r="U797" s="11">
        <v>-49.218824128836303</v>
      </c>
    </row>
    <row r="798" spans="1:21">
      <c r="A798" s="11" t="s">
        <v>4412</v>
      </c>
      <c r="G798" s="11" t="s">
        <v>4413</v>
      </c>
      <c r="I798" s="11" t="s">
        <v>4414</v>
      </c>
      <c r="J798" s="11" t="s">
        <v>4415</v>
      </c>
      <c r="K798" s="11" t="s">
        <v>4416</v>
      </c>
      <c r="L798" s="11" t="s">
        <v>4405</v>
      </c>
      <c r="M798" s="11" t="s">
        <v>749</v>
      </c>
      <c r="P798" s="11" t="s">
        <v>4415</v>
      </c>
      <c r="Q798" s="13" t="s">
        <v>4417</v>
      </c>
      <c r="R798" s="11">
        <v>-47.882446304050099</v>
      </c>
      <c r="T798" s="13" t="s">
        <v>4417</v>
      </c>
      <c r="U798" s="11">
        <v>-47.882446304050099</v>
      </c>
    </row>
    <row r="799" spans="1:21">
      <c r="A799" s="11" t="s">
        <v>4418</v>
      </c>
      <c r="G799" s="11" t="s">
        <v>4419</v>
      </c>
      <c r="H799" s="11">
        <v>699</v>
      </c>
      <c r="J799" s="11" t="s">
        <v>4420</v>
      </c>
      <c r="K799" s="11" t="s">
        <v>4421</v>
      </c>
      <c r="L799" s="11" t="s">
        <v>4422</v>
      </c>
      <c r="M799" s="11" t="s">
        <v>78</v>
      </c>
      <c r="P799" s="13" t="s">
        <v>4420</v>
      </c>
      <c r="Q799" s="13" t="s">
        <v>4423</v>
      </c>
      <c r="R799" s="11">
        <v>-47.367781999999998</v>
      </c>
      <c r="T799" s="11">
        <v>-22.749371163462701</v>
      </c>
      <c r="U799" s="11">
        <v>-47.367781999999998</v>
      </c>
    </row>
    <row r="800" spans="1:21">
      <c r="A800" s="11" t="s">
        <v>4424</v>
      </c>
      <c r="G800" s="11" t="s">
        <v>4425</v>
      </c>
      <c r="H800" s="11">
        <v>5</v>
      </c>
      <c r="J800" s="11" t="s">
        <v>4426</v>
      </c>
      <c r="K800" s="11" t="s">
        <v>39</v>
      </c>
      <c r="L800" s="11" t="s">
        <v>3732</v>
      </c>
      <c r="M800" s="11" t="s">
        <v>404</v>
      </c>
      <c r="P800" s="13" t="s">
        <v>4426</v>
      </c>
      <c r="Q800" s="13" t="s">
        <v>4427</v>
      </c>
      <c r="R800" s="11">
        <v>-46.513919813490901</v>
      </c>
      <c r="T800" s="11">
        <v>-18.585108920660101</v>
      </c>
      <c r="U800" s="11">
        <v>-46.513919813490901</v>
      </c>
    </row>
    <row r="802" spans="1:21">
      <c r="A802" s="11" t="s">
        <v>4428</v>
      </c>
      <c r="G802" s="11" t="s">
        <v>4429</v>
      </c>
      <c r="I802" s="11" t="s">
        <v>4430</v>
      </c>
      <c r="J802" s="11" t="s">
        <v>4431</v>
      </c>
      <c r="K802" s="11" t="s">
        <v>3439</v>
      </c>
      <c r="L802" s="11" t="s">
        <v>4432</v>
      </c>
      <c r="M802" s="11" t="s">
        <v>86</v>
      </c>
      <c r="P802" s="11" t="s">
        <v>4431</v>
      </c>
      <c r="Q802" s="13" t="s">
        <v>4433</v>
      </c>
      <c r="R802" s="11">
        <v>-42.082310519054197</v>
      </c>
      <c r="T802" s="11">
        <v>-9.6225302764603899</v>
      </c>
      <c r="U802" s="11">
        <v>-42.082310519054197</v>
      </c>
    </row>
    <row r="804" spans="1:21">
      <c r="A804" s="11" t="s">
        <v>4434</v>
      </c>
      <c r="G804" s="11" t="s">
        <v>4435</v>
      </c>
      <c r="J804" s="13" t="s">
        <v>4436</v>
      </c>
      <c r="K804" s="11" t="s">
        <v>4437</v>
      </c>
      <c r="L804" s="11" t="s">
        <v>4438</v>
      </c>
      <c r="M804" s="11" t="s">
        <v>86</v>
      </c>
      <c r="P804" s="13" t="s">
        <v>4436</v>
      </c>
      <c r="Q804" s="13" t="s">
        <v>4439</v>
      </c>
      <c r="R804" s="11">
        <v>-38.444727144181698</v>
      </c>
      <c r="T804" s="11">
        <v>-12.8958802393462</v>
      </c>
      <c r="U804" s="11">
        <v>-38.444727144181698</v>
      </c>
    </row>
    <row r="805" spans="1:21">
      <c r="P805" s="11"/>
    </row>
    <row r="806" spans="1:21">
      <c r="A806" s="11" t="s">
        <v>4440</v>
      </c>
      <c r="G806" s="11" t="s">
        <v>4441</v>
      </c>
      <c r="H806" s="11" t="s">
        <v>4442</v>
      </c>
      <c r="J806" s="11" t="s">
        <v>4443</v>
      </c>
      <c r="K806" s="11" t="s">
        <v>4444</v>
      </c>
      <c r="L806" s="11" t="s">
        <v>4405</v>
      </c>
      <c r="M806" s="11" t="s">
        <v>749</v>
      </c>
      <c r="P806" s="13" t="s">
        <v>4443</v>
      </c>
      <c r="Q806" s="13" t="s">
        <v>4445</v>
      </c>
      <c r="R806" s="11">
        <v>-48.041356133332997</v>
      </c>
      <c r="T806" s="11">
        <v>-15.8315474959096</v>
      </c>
      <c r="U806" s="11">
        <v>-48.041356133332997</v>
      </c>
    </row>
    <row r="807" spans="1:21">
      <c r="P807" s="11"/>
      <c r="T807" s="13"/>
    </row>
    <row r="809" spans="1:21">
      <c r="A809" s="11" t="s">
        <v>4446</v>
      </c>
      <c r="G809" s="11" t="s">
        <v>4447</v>
      </c>
      <c r="J809" s="11" t="s">
        <v>4448</v>
      </c>
      <c r="K809" s="11" t="s">
        <v>39</v>
      </c>
      <c r="L809" s="11" t="s">
        <v>4449</v>
      </c>
      <c r="M809" s="11" t="s">
        <v>86</v>
      </c>
      <c r="P809" s="13" t="s">
        <v>4448</v>
      </c>
      <c r="Q809" s="13" t="s">
        <v>4450</v>
      </c>
      <c r="R809" s="11">
        <v>-38.317489726981897</v>
      </c>
      <c r="T809" s="11">
        <v>-12.884339479199999</v>
      </c>
      <c r="U809" s="11">
        <v>-38.317489726981897</v>
      </c>
    </row>
    <row r="810" spans="1:21">
      <c r="A810" s="11" t="s">
        <v>4451</v>
      </c>
      <c r="G810" s="11" t="s">
        <v>4452</v>
      </c>
      <c r="H810" s="11">
        <v>146</v>
      </c>
      <c r="J810" s="11" t="s">
        <v>4453</v>
      </c>
      <c r="K810" s="11" t="s">
        <v>4454</v>
      </c>
      <c r="L810" s="11" t="s">
        <v>4438</v>
      </c>
      <c r="M810" s="11" t="s">
        <v>86</v>
      </c>
      <c r="P810" s="13" t="s">
        <v>4453</v>
      </c>
      <c r="Q810" s="13" t="s">
        <v>4455</v>
      </c>
      <c r="R810" s="11">
        <v>-38.476284357672697</v>
      </c>
      <c r="T810" s="11">
        <v>-12.866640684278</v>
      </c>
      <c r="U810" s="11">
        <v>-38.476284357672697</v>
      </c>
    </row>
    <row r="811" spans="1:21">
      <c r="A811" s="11" t="s">
        <v>4456</v>
      </c>
      <c r="G811" s="11" t="s">
        <v>4457</v>
      </c>
      <c r="H811" s="11" t="s">
        <v>4458</v>
      </c>
      <c r="J811" s="11" t="s">
        <v>4448</v>
      </c>
      <c r="K811" s="11" t="s">
        <v>677</v>
      </c>
      <c r="L811" s="11" t="s">
        <v>4449</v>
      </c>
      <c r="M811" s="11" t="s">
        <v>86</v>
      </c>
      <c r="P811" s="13" t="s">
        <v>4448</v>
      </c>
      <c r="Q811" s="13" t="s">
        <v>4459</v>
      </c>
      <c r="R811" s="11">
        <v>-38.310118788363397</v>
      </c>
      <c r="T811" s="11">
        <v>-12.8757574939753</v>
      </c>
      <c r="U811" s="11">
        <v>-38.310118788363397</v>
      </c>
    </row>
    <row r="813" spans="1:21">
      <c r="A813" s="11" t="s">
        <v>4460</v>
      </c>
      <c r="G813" s="11" t="s">
        <v>4461</v>
      </c>
      <c r="H813" s="11" t="s">
        <v>129</v>
      </c>
      <c r="J813" s="11" t="s">
        <v>4462</v>
      </c>
      <c r="K813" s="11" t="s">
        <v>39</v>
      </c>
      <c r="L813" s="11" t="s">
        <v>4463</v>
      </c>
      <c r="M813" s="11" t="s">
        <v>86</v>
      </c>
      <c r="P813" s="13" t="s">
        <v>4462</v>
      </c>
      <c r="Q813" s="13" t="s">
        <v>4464</v>
      </c>
      <c r="R813" s="11">
        <f>-41.8487148153453</f>
        <v>-41.848714815345303</v>
      </c>
      <c r="T813" s="11">
        <v>-11.2836617459667</v>
      </c>
      <c r="U813" s="11">
        <f>-41.8487148153453</f>
        <v>-41.848714815345303</v>
      </c>
    </row>
    <row r="814" spans="1:21">
      <c r="A814"/>
    </row>
    <row r="815" spans="1:21">
      <c r="A815" s="11" t="s">
        <v>4465</v>
      </c>
      <c r="G815" s="11" t="s">
        <v>4466</v>
      </c>
      <c r="H815" s="11">
        <v>5500</v>
      </c>
      <c r="J815" s="11" t="s">
        <v>4467</v>
      </c>
      <c r="K815" s="11" t="s">
        <v>4468</v>
      </c>
      <c r="L815" s="11" t="s">
        <v>4469</v>
      </c>
      <c r="M815" s="11" t="s">
        <v>391</v>
      </c>
      <c r="P815" s="13" t="s">
        <v>4467</v>
      </c>
      <c r="Q815" s="13" t="s">
        <v>4470</v>
      </c>
      <c r="R815" s="11">
        <v>-42.814184615345297</v>
      </c>
      <c r="T815" s="11">
        <v>-5.0343953697196904</v>
      </c>
      <c r="U815" s="11">
        <v>-42.814184615345297</v>
      </c>
    </row>
    <row r="816" spans="1:21">
      <c r="A816" s="11" t="s">
        <v>4471</v>
      </c>
      <c r="G816" s="11" t="s">
        <v>4472</v>
      </c>
      <c r="H816" s="11">
        <v>744</v>
      </c>
      <c r="J816" s="11" t="s">
        <v>4473</v>
      </c>
      <c r="K816" s="11" t="s">
        <v>4474</v>
      </c>
      <c r="L816" s="11" t="s">
        <v>4475</v>
      </c>
      <c r="M816" s="11" t="s">
        <v>723</v>
      </c>
      <c r="P816" s="13" t="s">
        <v>4473</v>
      </c>
      <c r="Q816" s="13" t="s">
        <v>4476</v>
      </c>
      <c r="R816" s="11">
        <v>-49.271237559527101</v>
      </c>
      <c r="T816" s="11">
        <v>-16.692293003773798</v>
      </c>
      <c r="U816" s="11">
        <v>-49.271237559527101</v>
      </c>
    </row>
    <row r="817" spans="1:21">
      <c r="A817" s="11" t="s">
        <v>4477</v>
      </c>
      <c r="G817" s="11" t="s">
        <v>4478</v>
      </c>
      <c r="H817" s="11">
        <v>2780</v>
      </c>
      <c r="J817" s="11" t="s">
        <v>2714</v>
      </c>
      <c r="K817" s="11" t="s">
        <v>2713</v>
      </c>
      <c r="L817" s="11" t="s">
        <v>77</v>
      </c>
      <c r="M817" s="11" t="s">
        <v>78</v>
      </c>
      <c r="P817" s="13" t="s">
        <v>2714</v>
      </c>
      <c r="Q817" s="13" t="s">
        <v>4479</v>
      </c>
      <c r="R817" s="11">
        <v>-46.645008013490902</v>
      </c>
      <c r="T817" s="11">
        <v>-23.482657953589001</v>
      </c>
      <c r="U817" s="11">
        <v>-46.645008013490902</v>
      </c>
    </row>
    <row r="818" spans="1:21">
      <c r="A818" s="11" t="s">
        <v>4480</v>
      </c>
      <c r="G818" s="11" t="s">
        <v>4481</v>
      </c>
      <c r="H818" s="11">
        <v>3505</v>
      </c>
      <c r="J818" s="11" t="s">
        <v>4482</v>
      </c>
      <c r="K818" s="11" t="s">
        <v>4483</v>
      </c>
      <c r="L818" s="11" t="s">
        <v>511</v>
      </c>
      <c r="M818" s="11" t="s">
        <v>281</v>
      </c>
      <c r="P818" s="13" t="s">
        <v>4482</v>
      </c>
      <c r="Q818" s="13" t="s">
        <v>4484</v>
      </c>
      <c r="R818" s="11">
        <v>-44.229026971163599</v>
      </c>
      <c r="T818" s="11">
        <v>-2.5648329153879699</v>
      </c>
      <c r="U818" s="11">
        <v>-44.229026971163599</v>
      </c>
    </row>
    <row r="820" spans="1:21">
      <c r="A820" s="11" t="s">
        <v>4485</v>
      </c>
      <c r="G820" s="11" t="s">
        <v>4486</v>
      </c>
      <c r="H820" s="11">
        <v>36</v>
      </c>
      <c r="J820" s="11" t="s">
        <v>4487</v>
      </c>
      <c r="K820" s="11" t="s">
        <v>39</v>
      </c>
      <c r="L820" s="11" t="s">
        <v>4488</v>
      </c>
      <c r="M820" s="11" t="s">
        <v>215</v>
      </c>
      <c r="P820" s="13" t="s">
        <v>4487</v>
      </c>
      <c r="Q820" s="13" t="s">
        <v>4489</v>
      </c>
      <c r="R820" s="11">
        <v>-35.762921173018</v>
      </c>
      <c r="T820" s="11">
        <v>-5.8946376497595203</v>
      </c>
      <c r="U820" s="11">
        <v>-35.762921173018</v>
      </c>
    </row>
    <row r="823" spans="1:21">
      <c r="A823" s="11" t="s">
        <v>4490</v>
      </c>
      <c r="G823" s="11" t="s">
        <v>4491</v>
      </c>
      <c r="H823" s="11">
        <v>240</v>
      </c>
      <c r="I823" s="11" t="s">
        <v>4492</v>
      </c>
      <c r="J823" s="11" t="s">
        <v>4493</v>
      </c>
      <c r="K823" s="11" t="s">
        <v>2068</v>
      </c>
      <c r="L823" s="11" t="s">
        <v>3630</v>
      </c>
      <c r="M823" s="11" t="s">
        <v>68</v>
      </c>
      <c r="P823" s="13" t="s">
        <v>4493</v>
      </c>
      <c r="Q823" s="13" t="s">
        <v>4494</v>
      </c>
      <c r="R823" s="11">
        <v>-43.466651273018101</v>
      </c>
      <c r="T823" s="11">
        <v>-22.878456507020999</v>
      </c>
      <c r="U823" s="11">
        <v>-43.466651273018101</v>
      </c>
    </row>
    <row r="824" spans="1:21">
      <c r="A824" s="11" t="s">
        <v>4495</v>
      </c>
      <c r="G824" s="11" t="s">
        <v>4496</v>
      </c>
      <c r="H824" s="11" t="s">
        <v>129</v>
      </c>
      <c r="I824" s="11" t="s">
        <v>4497</v>
      </c>
      <c r="J824" s="11" t="s">
        <v>4498</v>
      </c>
      <c r="K824" s="11" t="s">
        <v>4499</v>
      </c>
      <c r="L824" s="11" t="s">
        <v>4500</v>
      </c>
      <c r="M824" s="11" t="s">
        <v>646</v>
      </c>
      <c r="P824" s="13" t="s">
        <v>4498</v>
      </c>
      <c r="Q824" s="13" t="s">
        <v>4501</v>
      </c>
      <c r="R824" s="11">
        <v>-48.348072742327297</v>
      </c>
      <c r="T824" s="11">
        <v>-10.182690042897001</v>
      </c>
      <c r="U824" s="11">
        <v>-48.348072742327297</v>
      </c>
    </row>
    <row r="826" spans="1:21">
      <c r="A826" s="11" t="s">
        <v>4502</v>
      </c>
      <c r="G826" s="11" t="s">
        <v>4503</v>
      </c>
      <c r="H826" s="11">
        <v>2370</v>
      </c>
      <c r="I826" s="11" t="s">
        <v>4504</v>
      </c>
      <c r="J826" s="11" t="s">
        <v>4505</v>
      </c>
      <c r="K826" s="11" t="s">
        <v>4506</v>
      </c>
      <c r="L826" s="11" t="s">
        <v>4507</v>
      </c>
      <c r="M826" s="11" t="s">
        <v>78</v>
      </c>
      <c r="P826" s="11" t="s">
        <v>4505</v>
      </c>
      <c r="Q826" s="13" t="s">
        <v>4508</v>
      </c>
      <c r="R826" s="11">
        <v>-47.306813044181702</v>
      </c>
      <c r="T826" s="13" t="s">
        <v>4508</v>
      </c>
      <c r="U826" s="11">
        <v>-47.306813044181702</v>
      </c>
    </row>
    <row r="827" spans="1:21">
      <c r="A827" s="11" t="s">
        <v>4509</v>
      </c>
      <c r="G827" s="11" t="s">
        <v>4510</v>
      </c>
      <c r="H827" s="11">
        <v>246</v>
      </c>
      <c r="J827" s="11" t="s">
        <v>4511</v>
      </c>
      <c r="K827" s="11" t="s">
        <v>4512</v>
      </c>
      <c r="L827" s="11" t="s">
        <v>4513</v>
      </c>
      <c r="M827" s="11" t="s">
        <v>391</v>
      </c>
      <c r="P827" s="13" t="s">
        <v>4511</v>
      </c>
      <c r="Q827" s="13" t="s">
        <v>4514</v>
      </c>
      <c r="R827" s="11">
        <v>-42.2564147331016</v>
      </c>
      <c r="T827" s="11">
        <v>-8.3551527550646902</v>
      </c>
      <c r="U827" s="11">
        <v>-42.2564147331016</v>
      </c>
    </row>
    <row r="828" spans="1:21">
      <c r="A828" s="11" t="s">
        <v>4515</v>
      </c>
      <c r="G828" s="11" t="s">
        <v>4044</v>
      </c>
      <c r="H828" s="11">
        <v>1336</v>
      </c>
      <c r="J828" s="11" t="s">
        <v>4045</v>
      </c>
      <c r="K828" s="11" t="s">
        <v>4516</v>
      </c>
      <c r="L828" s="11" t="s">
        <v>3732</v>
      </c>
      <c r="M828" s="11" t="s">
        <v>404</v>
      </c>
      <c r="P828" s="11" t="s">
        <v>4045</v>
      </c>
      <c r="Q828" s="13" t="s">
        <v>4517</v>
      </c>
      <c r="R828" s="11">
        <v>-46.524102886508999</v>
      </c>
      <c r="T828" s="11">
        <v>-18.596338967758999</v>
      </c>
      <c r="U828" s="11">
        <v>-46.524102886508999</v>
      </c>
    </row>
    <row r="829" spans="1:21">
      <c r="A829" s="11" t="s">
        <v>4518</v>
      </c>
      <c r="G829" s="11" t="s">
        <v>4519</v>
      </c>
      <c r="H829" s="11">
        <v>6000</v>
      </c>
      <c r="I829" s="11" t="s">
        <v>4520</v>
      </c>
      <c r="J829" s="11" t="s">
        <v>4521</v>
      </c>
      <c r="K829" s="11" t="s">
        <v>4522</v>
      </c>
      <c r="L829" s="11" t="s">
        <v>4523</v>
      </c>
      <c r="M829" s="11" t="s">
        <v>78</v>
      </c>
      <c r="P829" s="13" t="s">
        <v>4521</v>
      </c>
      <c r="Q829" s="13" t="s">
        <v>4524</v>
      </c>
      <c r="R829" s="11">
        <v>-50.469968273018097</v>
      </c>
      <c r="T829" s="11">
        <v>-21.2119346488108</v>
      </c>
      <c r="U829" s="11">
        <v>-50.469968273018097</v>
      </c>
    </row>
    <row r="830" spans="1:21">
      <c r="A830" s="11" t="s">
        <v>4525</v>
      </c>
      <c r="G830" s="11" t="s">
        <v>4526</v>
      </c>
      <c r="H830" s="11">
        <v>1111</v>
      </c>
      <c r="I830" s="11" t="s">
        <v>4527</v>
      </c>
      <c r="J830" s="11" t="s">
        <v>4528</v>
      </c>
      <c r="K830" s="11" t="s">
        <v>4529</v>
      </c>
      <c r="L830" s="11" t="s">
        <v>4530</v>
      </c>
      <c r="M830" s="11" t="s">
        <v>68</v>
      </c>
      <c r="P830" s="11" t="s">
        <v>4528</v>
      </c>
      <c r="Q830" s="13" t="s">
        <v>4531</v>
      </c>
      <c r="R830" s="11">
        <v>-43.465178315345398</v>
      </c>
      <c r="T830" s="11">
        <v>-22.7625838889075</v>
      </c>
      <c r="U830" s="11">
        <v>-43.465178315345398</v>
      </c>
    </row>
    <row r="831" spans="1:21">
      <c r="A831" s="11" t="s">
        <v>4532</v>
      </c>
      <c r="G831" s="11" t="s">
        <v>4533</v>
      </c>
      <c r="H831" s="11">
        <v>236</v>
      </c>
      <c r="I831" s="11" t="s">
        <v>4534</v>
      </c>
      <c r="J831" s="11" t="s">
        <v>4535</v>
      </c>
      <c r="K831" s="11" t="s">
        <v>4536</v>
      </c>
      <c r="L831" s="11" t="s">
        <v>3630</v>
      </c>
      <c r="M831" s="11" t="s">
        <v>68</v>
      </c>
      <c r="P831" s="13" t="s">
        <v>4535</v>
      </c>
      <c r="Q831" s="13" t="s">
        <v>4537</v>
      </c>
      <c r="R831" s="11">
        <v>-43.250314846036098</v>
      </c>
      <c r="T831" s="11">
        <v>-22.919084694747799</v>
      </c>
      <c r="U831" s="11">
        <v>-43.250314846036098</v>
      </c>
    </row>
    <row r="833" spans="1:21">
      <c r="A833" s="11" t="s">
        <v>4538</v>
      </c>
      <c r="G833" s="11" t="s">
        <v>4539</v>
      </c>
      <c r="H833" s="11">
        <v>5100</v>
      </c>
      <c r="I833" s="11" t="s">
        <v>4540</v>
      </c>
      <c r="J833" s="11" t="s">
        <v>4541</v>
      </c>
      <c r="K833" s="11" t="s">
        <v>4542</v>
      </c>
      <c r="L833" s="11" t="s">
        <v>2589</v>
      </c>
      <c r="M833" s="11" t="s">
        <v>404</v>
      </c>
      <c r="P833" s="13" t="s">
        <v>4541</v>
      </c>
      <c r="Q833" s="13" t="s">
        <v>4543</v>
      </c>
      <c r="R833" s="11">
        <v>-47.944200330690698</v>
      </c>
      <c r="T833" s="13" t="s">
        <v>4543</v>
      </c>
      <c r="U833" s="11">
        <v>-47.944200330690698</v>
      </c>
    </row>
    <row r="834" spans="1:21">
      <c r="A834" s="11" t="s">
        <v>4544</v>
      </c>
      <c r="G834" s="11" t="s">
        <v>4545</v>
      </c>
      <c r="H834" s="11">
        <v>53</v>
      </c>
      <c r="J834" s="11" t="s">
        <v>4546</v>
      </c>
      <c r="K834" s="11" t="s">
        <v>4547</v>
      </c>
      <c r="L834" s="11" t="s">
        <v>4548</v>
      </c>
      <c r="M834" s="11" t="s">
        <v>78</v>
      </c>
      <c r="P834" s="13" t="s">
        <v>4546</v>
      </c>
      <c r="Q834" s="13" t="s">
        <v>4549</v>
      </c>
      <c r="R834" s="11">
        <v>-46.465438257672702</v>
      </c>
      <c r="T834" s="11">
        <v>-23.671467664285998</v>
      </c>
      <c r="U834" s="11">
        <v>-46.465438257672702</v>
      </c>
    </row>
    <row r="835" spans="1:21">
      <c r="A835" s="11" t="s">
        <v>4550</v>
      </c>
      <c r="G835" s="11" t="s">
        <v>4551</v>
      </c>
      <c r="H835" s="11">
        <v>400</v>
      </c>
      <c r="J835" s="11" t="s">
        <v>4552</v>
      </c>
      <c r="K835" s="11" t="s">
        <v>907</v>
      </c>
      <c r="L835" s="11" t="s">
        <v>3630</v>
      </c>
      <c r="M835" s="11" t="s">
        <v>68</v>
      </c>
      <c r="P835" s="13" t="s">
        <v>4552</v>
      </c>
      <c r="Q835" s="13" t="s">
        <v>4553</v>
      </c>
      <c r="R835" s="11">
        <v>-43.2017462711636</v>
      </c>
      <c r="T835" s="11">
        <v>-22.801857399139699</v>
      </c>
      <c r="U835" s="11">
        <v>-43.2017462711636</v>
      </c>
    </row>
    <row r="836" spans="1:21">
      <c r="A836" s="11" t="s">
        <v>4554</v>
      </c>
      <c r="G836" s="47" t="s">
        <v>4555</v>
      </c>
      <c r="H836" s="11">
        <v>15500</v>
      </c>
      <c r="J836" s="11" t="s">
        <v>4556</v>
      </c>
      <c r="K836" s="11" t="s">
        <v>4557</v>
      </c>
      <c r="L836" s="11" t="s">
        <v>3630</v>
      </c>
      <c r="M836" s="11" t="s">
        <v>68</v>
      </c>
      <c r="P836" s="13" t="s">
        <v>4556</v>
      </c>
      <c r="Q836" s="13" t="s">
        <v>4558</v>
      </c>
      <c r="R836" s="11">
        <v>-43.461258600000001</v>
      </c>
      <c r="T836" s="13" t="s">
        <v>4558</v>
      </c>
      <c r="U836" s="11">
        <v>-43.461258600000001</v>
      </c>
    </row>
    <row r="837" spans="1:21">
      <c r="A837" s="11" t="s">
        <v>4559</v>
      </c>
      <c r="G837" s="11" t="s">
        <v>4560</v>
      </c>
      <c r="H837" s="11">
        <v>909</v>
      </c>
      <c r="I837" s="11" t="s">
        <v>4561</v>
      </c>
      <c r="J837" s="11" t="s">
        <v>4562</v>
      </c>
      <c r="K837" s="11" t="s">
        <v>4563</v>
      </c>
      <c r="L837" s="11" t="s">
        <v>3630</v>
      </c>
      <c r="M837" s="11" t="s">
        <v>68</v>
      </c>
      <c r="P837" s="11" t="s">
        <v>4562</v>
      </c>
      <c r="Q837" s="13" t="s">
        <v>4564</v>
      </c>
      <c r="R837" s="11">
        <v>-43.311061515345301</v>
      </c>
      <c r="T837" s="11">
        <v>-22.849795679336601</v>
      </c>
      <c r="U837" s="11">
        <v>-43.311061515345301</v>
      </c>
    </row>
    <row r="838" spans="1:21">
      <c r="A838" s="11" t="s">
        <v>4565</v>
      </c>
      <c r="G838" s="11" t="s">
        <v>4566</v>
      </c>
      <c r="H838" s="11">
        <v>169</v>
      </c>
      <c r="J838" s="11" t="s">
        <v>4567</v>
      </c>
      <c r="K838" s="11" t="s">
        <v>3439</v>
      </c>
      <c r="L838" s="11" t="s">
        <v>4568</v>
      </c>
      <c r="M838" s="11" t="s">
        <v>86</v>
      </c>
      <c r="P838" s="13" t="s">
        <v>4567</v>
      </c>
      <c r="Q838" s="13" t="s">
        <v>4569</v>
      </c>
      <c r="R838" s="11">
        <v>-44.049738030690698</v>
      </c>
      <c r="T838" s="11">
        <v>-12.982200899065299</v>
      </c>
      <c r="U838" s="11">
        <v>-44.049738030690698</v>
      </c>
    </row>
    <row r="839" spans="1:21">
      <c r="A839" s="11" t="s">
        <v>4570</v>
      </c>
      <c r="G839" s="11" t="s">
        <v>4571</v>
      </c>
      <c r="H839" s="11">
        <v>1361</v>
      </c>
      <c r="I839" s="11" t="s">
        <v>4572</v>
      </c>
      <c r="J839" s="11" t="s">
        <v>4573</v>
      </c>
      <c r="K839" s="11" t="s">
        <v>3636</v>
      </c>
      <c r="L839" s="11" t="s">
        <v>4438</v>
      </c>
      <c r="M839" s="11" t="s">
        <v>86</v>
      </c>
      <c r="P839" s="13" t="s">
        <v>4573</v>
      </c>
      <c r="Q839" s="13" t="s">
        <v>4574</v>
      </c>
      <c r="R839" s="11">
        <v>-38.4001892153453</v>
      </c>
      <c r="T839" s="11">
        <v>-12.9047624827151</v>
      </c>
      <c r="U839" s="11">
        <v>-38.4001892153453</v>
      </c>
    </row>
    <row r="840" spans="1:21">
      <c r="A840" s="11" t="s">
        <v>4575</v>
      </c>
      <c r="G840" s="11" t="s">
        <v>4576</v>
      </c>
      <c r="H840" s="11">
        <v>206</v>
      </c>
      <c r="I840" s="11" t="s">
        <v>4190</v>
      </c>
      <c r="J840" s="11" t="s">
        <v>3485</v>
      </c>
      <c r="K840" s="11" t="s">
        <v>609</v>
      </c>
      <c r="L840" s="11" t="s">
        <v>511</v>
      </c>
      <c r="M840" s="11" t="s">
        <v>281</v>
      </c>
      <c r="P840" s="13" t="s">
        <v>3485</v>
      </c>
      <c r="Q840" s="13" t="s">
        <v>4577</v>
      </c>
      <c r="R840" s="11">
        <v>-44.189328115345297</v>
      </c>
      <c r="T840" s="11">
        <v>-2.5684786256760201</v>
      </c>
      <c r="U840" s="11">
        <v>-44.189328115345297</v>
      </c>
    </row>
    <row r="841" spans="1:21">
      <c r="A841" s="11" t="s">
        <v>4578</v>
      </c>
      <c r="G841" s="11" t="s">
        <v>4579</v>
      </c>
      <c r="H841" s="11">
        <v>222</v>
      </c>
      <c r="I841" s="11" t="s">
        <v>4580</v>
      </c>
      <c r="J841" s="11" t="s">
        <v>4581</v>
      </c>
      <c r="K841" s="11" t="s">
        <v>4582</v>
      </c>
      <c r="L841" s="11" t="s">
        <v>3630</v>
      </c>
      <c r="M841" s="11" t="s">
        <v>68</v>
      </c>
      <c r="P841" s="13" t="s">
        <v>4581</v>
      </c>
      <c r="Q841" s="13" t="s">
        <v>4583</v>
      </c>
      <c r="R841" s="11">
        <v>-43.341064128836301</v>
      </c>
      <c r="T841" s="11">
        <v>-22.870517193440602</v>
      </c>
      <c r="U841" s="11">
        <v>-43.341064128836301</v>
      </c>
    </row>
    <row r="842" spans="1:21">
      <c r="A842" s="11" t="s">
        <v>4584</v>
      </c>
      <c r="G842" s="11" t="s">
        <v>4585</v>
      </c>
      <c r="H842" s="11">
        <v>100</v>
      </c>
      <c r="I842" s="11" t="s">
        <v>4586</v>
      </c>
      <c r="J842" s="11" t="s">
        <v>4587</v>
      </c>
      <c r="K842" s="11" t="s">
        <v>39</v>
      </c>
      <c r="L842" s="11" t="s">
        <v>4588</v>
      </c>
      <c r="M842" s="11" t="s">
        <v>354</v>
      </c>
      <c r="P842" s="13" t="s">
        <v>4587</v>
      </c>
      <c r="Q842" s="13" t="s">
        <v>4589</v>
      </c>
      <c r="R842" s="11">
        <v>-38.495809128836299</v>
      </c>
      <c r="T842" s="11">
        <v>-4.1000688204166504</v>
      </c>
      <c r="U842" s="11">
        <v>-38.495809128836299</v>
      </c>
    </row>
    <row r="843" spans="1:21">
      <c r="A843" s="11" t="s">
        <v>4590</v>
      </c>
      <c r="G843" s="11" t="s">
        <v>4591</v>
      </c>
      <c r="H843" s="11">
        <v>3665</v>
      </c>
      <c r="I843" s="11" t="s">
        <v>4592</v>
      </c>
      <c r="J843" s="11" t="s">
        <v>4593</v>
      </c>
      <c r="K843" s="11" t="s">
        <v>4594</v>
      </c>
      <c r="L843" s="47" t="s">
        <v>4595</v>
      </c>
      <c r="M843" s="11" t="s">
        <v>86</v>
      </c>
      <c r="P843" s="13" t="s">
        <v>4593</v>
      </c>
      <c r="Q843" s="13" t="s">
        <v>4596</v>
      </c>
      <c r="R843" s="11">
        <v>-38.948561242327301</v>
      </c>
      <c r="T843" s="11">
        <v>-12.241154974672501</v>
      </c>
      <c r="U843" s="11">
        <v>-38.948561242327301</v>
      </c>
    </row>
    <row r="844" spans="1:21">
      <c r="A844" s="11" t="s">
        <v>4597</v>
      </c>
      <c r="G844" s="11" t="s">
        <v>4598</v>
      </c>
      <c r="H844" s="11">
        <v>4775</v>
      </c>
      <c r="I844" s="11" t="s">
        <v>4599</v>
      </c>
      <c r="J844" s="11" t="s">
        <v>4600</v>
      </c>
      <c r="K844" s="11" t="s">
        <v>4601</v>
      </c>
      <c r="L844" s="11" t="s">
        <v>4602</v>
      </c>
      <c r="M844" s="11" t="s">
        <v>78</v>
      </c>
      <c r="P844" s="13" t="s">
        <v>4600</v>
      </c>
      <c r="Q844" s="13" t="s">
        <v>4603</v>
      </c>
      <c r="R844" s="11">
        <v>-49.386627215345399</v>
      </c>
      <c r="T844" s="11">
        <v>-20.826810563339201</v>
      </c>
      <c r="U844" s="11">
        <v>-49.386627215345399</v>
      </c>
    </row>
    <row r="845" spans="1:21">
      <c r="A845" s="11" t="s">
        <v>4604</v>
      </c>
      <c r="G845" s="11" t="s">
        <v>4605</v>
      </c>
      <c r="H845" s="11">
        <v>296</v>
      </c>
      <c r="J845" s="11" t="s">
        <v>4606</v>
      </c>
      <c r="K845" s="11" t="s">
        <v>4607</v>
      </c>
      <c r="L845" s="11" t="s">
        <v>4608</v>
      </c>
      <c r="M845" s="11" t="s">
        <v>404</v>
      </c>
      <c r="P845" s="13" t="s">
        <v>4606</v>
      </c>
      <c r="Q845" s="13" t="s">
        <v>4609</v>
      </c>
      <c r="R845" s="11">
        <v>-42.058358071163603</v>
      </c>
      <c r="T845" s="11">
        <v>-15.5007868589403</v>
      </c>
      <c r="U845" s="11">
        <v>-42.058358071163603</v>
      </c>
    </row>
    <row r="846" spans="1:21">
      <c r="A846" s="11" t="s">
        <v>4610</v>
      </c>
      <c r="G846" s="11" t="s">
        <v>4611</v>
      </c>
      <c r="H846" s="11">
        <v>98</v>
      </c>
      <c r="J846" s="11" t="s">
        <v>4612</v>
      </c>
      <c r="K846" s="11" t="s">
        <v>3555</v>
      </c>
      <c r="L846" s="11" t="s">
        <v>4613</v>
      </c>
      <c r="M846" s="11" t="s">
        <v>354</v>
      </c>
      <c r="P846" s="13" t="s">
        <v>4612</v>
      </c>
      <c r="Q846" s="13" t="s">
        <v>4614</v>
      </c>
      <c r="R846" s="11">
        <v>-38.459693257672598</v>
      </c>
      <c r="T846" s="11">
        <v>-6.0462835515611397</v>
      </c>
      <c r="U846" s="11">
        <v>-38.459693257672598</v>
      </c>
    </row>
    <row r="847" spans="1:21">
      <c r="A847" s="11" t="s">
        <v>4615</v>
      </c>
      <c r="G847" s="11" t="s">
        <v>4616</v>
      </c>
      <c r="H847" s="11">
        <v>228</v>
      </c>
      <c r="J847" s="11" t="s">
        <v>4617</v>
      </c>
      <c r="K847" s="11" t="s">
        <v>4618</v>
      </c>
      <c r="L847" s="11" t="s">
        <v>4619</v>
      </c>
      <c r="M847" s="11" t="s">
        <v>391</v>
      </c>
      <c r="P847" s="11" t="s">
        <v>4617</v>
      </c>
      <c r="Q847" s="13" t="s">
        <v>4620</v>
      </c>
      <c r="R847" s="11">
        <v>-41.136306273018</v>
      </c>
      <c r="T847" s="13" t="s">
        <v>4620</v>
      </c>
      <c r="U847" s="11">
        <v>-41.136306273018</v>
      </c>
    </row>
    <row r="848" spans="1:21">
      <c r="A848" s="11" t="s">
        <v>4621</v>
      </c>
      <c r="G848" s="11" t="s">
        <v>4622</v>
      </c>
      <c r="H848" s="11">
        <v>321</v>
      </c>
      <c r="I848" s="11" t="s">
        <v>4623</v>
      </c>
      <c r="J848" s="11" t="s">
        <v>4624</v>
      </c>
      <c r="K848" s="11" t="s">
        <v>4625</v>
      </c>
      <c r="L848" s="11" t="s">
        <v>4626</v>
      </c>
      <c r="M848" s="11" t="s">
        <v>78</v>
      </c>
      <c r="P848" s="13" t="s">
        <v>4624</v>
      </c>
      <c r="Q848" s="13" t="s">
        <v>4627</v>
      </c>
      <c r="R848" s="11">
        <v>-46.761612544181702</v>
      </c>
      <c r="T848" s="11">
        <v>-23.607898904642798</v>
      </c>
      <c r="U848" s="11">
        <v>-46.761612544181702</v>
      </c>
    </row>
    <row r="850" spans="1:21">
      <c r="A850" s="11" t="s">
        <v>4628</v>
      </c>
      <c r="G850" s="11" t="s">
        <v>4629</v>
      </c>
      <c r="H850" s="11">
        <v>100</v>
      </c>
      <c r="I850" s="11" t="s">
        <v>4630</v>
      </c>
      <c r="J850" s="11" t="s">
        <v>4631</v>
      </c>
      <c r="K850" s="11" t="s">
        <v>4632</v>
      </c>
      <c r="L850" s="11" t="s">
        <v>4633</v>
      </c>
      <c r="M850" s="11" t="s">
        <v>404</v>
      </c>
      <c r="P850" s="13" t="s">
        <v>4631</v>
      </c>
      <c r="Q850" s="13" t="s">
        <v>4634</v>
      </c>
      <c r="R850" s="11">
        <v>-46.997749471163601</v>
      </c>
      <c r="T850" s="11">
        <v>-20.901726178108401</v>
      </c>
      <c r="U850" s="11">
        <v>-46.997749471163601</v>
      </c>
    </row>
    <row r="851" spans="1:21">
      <c r="A851" s="47" t="s">
        <v>4635</v>
      </c>
      <c r="G851" s="11" t="s">
        <v>4636</v>
      </c>
      <c r="H851" s="11" t="s">
        <v>4637</v>
      </c>
      <c r="I851" s="11" t="s">
        <v>4638</v>
      </c>
      <c r="J851" s="11" t="s">
        <v>4639</v>
      </c>
      <c r="L851" s="11" t="s">
        <v>4640</v>
      </c>
      <c r="M851" s="11" t="s">
        <v>281</v>
      </c>
      <c r="P851" s="13" t="s">
        <v>4639</v>
      </c>
      <c r="Q851" s="13" t="s">
        <v>4641</v>
      </c>
      <c r="R851" s="11">
        <v>-47.397103155818201</v>
      </c>
      <c r="T851" s="11">
        <v>-6.3395386877334996</v>
      </c>
      <c r="U851" s="11">
        <v>-47.397103155818201</v>
      </c>
    </row>
    <row r="852" spans="1:21">
      <c r="A852" s="11" t="s">
        <v>4642</v>
      </c>
      <c r="G852" s="11" t="s">
        <v>4643</v>
      </c>
      <c r="H852" s="11">
        <v>339</v>
      </c>
      <c r="I852" s="11" t="s">
        <v>4644</v>
      </c>
      <c r="J852" s="11" t="s">
        <v>4645</v>
      </c>
      <c r="L852" s="11" t="s">
        <v>4646</v>
      </c>
      <c r="M852" s="11" t="s">
        <v>86</v>
      </c>
      <c r="P852" s="13" t="s">
        <v>4645</v>
      </c>
      <c r="Q852" s="13" t="s">
        <v>4647</v>
      </c>
      <c r="R852" s="11">
        <v>-39.062509113490897</v>
      </c>
      <c r="T852" s="11">
        <v>-16.4435654147699</v>
      </c>
      <c r="U852" s="11">
        <v>-39.062509113490897</v>
      </c>
    </row>
    <row r="854" spans="1:21">
      <c r="A854" s="11" t="s">
        <v>4648</v>
      </c>
      <c r="G854" s="11" t="s">
        <v>4649</v>
      </c>
      <c r="H854" s="11">
        <v>4321</v>
      </c>
      <c r="J854" s="11" t="s">
        <v>4650</v>
      </c>
      <c r="K854" s="11" t="s">
        <v>4651</v>
      </c>
      <c r="L854" s="11" t="s">
        <v>4652</v>
      </c>
      <c r="M854" s="11" t="s">
        <v>723</v>
      </c>
      <c r="P854" s="13" t="s">
        <v>4650</v>
      </c>
      <c r="Q854" s="13" t="s">
        <v>4653</v>
      </c>
      <c r="R854" s="11">
        <v>-60.128393544181698</v>
      </c>
      <c r="T854" s="11">
        <v>-12.705404712241499</v>
      </c>
      <c r="U854" s="11">
        <v>-60.128393544181698</v>
      </c>
    </row>
    <row r="855" spans="1:21">
      <c r="A855" s="11" t="s">
        <v>4654</v>
      </c>
      <c r="G855" s="11" t="s">
        <v>4655</v>
      </c>
      <c r="H855" s="11">
        <v>1450</v>
      </c>
      <c r="I855" s="11" t="s">
        <v>4656</v>
      </c>
      <c r="J855" s="11" t="s">
        <v>4657</v>
      </c>
      <c r="K855" s="11" t="s">
        <v>4658</v>
      </c>
      <c r="L855" s="11" t="s">
        <v>4659</v>
      </c>
      <c r="M855" s="11" t="s">
        <v>78</v>
      </c>
      <c r="P855" s="13" t="s">
        <v>4657</v>
      </c>
      <c r="Q855" s="13" t="s">
        <v>4660</v>
      </c>
      <c r="R855" s="11">
        <v>-50.508601859527097</v>
      </c>
      <c r="T855" s="11">
        <v>-21.945051183864699</v>
      </c>
      <c r="U855" s="11">
        <v>-50.508601859527097</v>
      </c>
    </row>
    <row r="857" spans="1:21">
      <c r="A857" s="11" t="s">
        <v>4661</v>
      </c>
      <c r="G857" s="11" t="s">
        <v>4662</v>
      </c>
      <c r="H857" s="11">
        <v>2870</v>
      </c>
      <c r="J857" s="11" t="s">
        <v>4663</v>
      </c>
      <c r="K857" s="11" t="s">
        <v>4664</v>
      </c>
      <c r="L857" s="11" t="s">
        <v>4665</v>
      </c>
      <c r="M857" s="11" t="s">
        <v>918</v>
      </c>
      <c r="P857" s="13" t="s">
        <v>4663</v>
      </c>
      <c r="Q857" s="13" t="s">
        <v>4666</v>
      </c>
      <c r="R857" s="11">
        <v>-40.294147328836303</v>
      </c>
      <c r="T857" s="11">
        <v>-20.2625526807226</v>
      </c>
      <c r="U857" s="11">
        <v>-40.294147328836303</v>
      </c>
    </row>
    <row r="858" spans="1:21">
      <c r="A858" s="11" t="s">
        <v>4667</v>
      </c>
      <c r="G858" s="11" t="s">
        <v>4668</v>
      </c>
      <c r="H858" s="11">
        <v>64</v>
      </c>
      <c r="I858" s="11" t="s">
        <v>4669</v>
      </c>
      <c r="J858" s="11" t="s">
        <v>4670</v>
      </c>
      <c r="K858" s="11" t="s">
        <v>4671</v>
      </c>
      <c r="L858" s="11" t="s">
        <v>4672</v>
      </c>
      <c r="M858" s="11" t="s">
        <v>86</v>
      </c>
      <c r="P858" s="13" t="s">
        <v>4670</v>
      </c>
      <c r="Q858" s="13" t="s">
        <v>4673</v>
      </c>
      <c r="R858" s="11">
        <v>-45.808440714331397</v>
      </c>
      <c r="T858" s="11">
        <v>-12.0946347411281</v>
      </c>
      <c r="U858" s="11">
        <v>-45.808440714331397</v>
      </c>
    </row>
    <row r="859" spans="1:21">
      <c r="A859" s="11" t="s">
        <v>4674</v>
      </c>
      <c r="G859" s="11" t="s">
        <v>4675</v>
      </c>
      <c r="H859" s="11">
        <v>2</v>
      </c>
      <c r="I859" s="11" t="s">
        <v>3757</v>
      </c>
      <c r="J859" s="11" t="s">
        <v>4676</v>
      </c>
      <c r="L859" s="11" t="s">
        <v>4677</v>
      </c>
      <c r="M859" s="11" t="s">
        <v>281</v>
      </c>
      <c r="P859" s="13" t="s">
        <v>4676</v>
      </c>
      <c r="Q859" s="13" t="s">
        <v>4678</v>
      </c>
      <c r="R859" s="11">
        <v>-43.8893892441817</v>
      </c>
      <c r="T859" s="11">
        <v>-4.47195680167665</v>
      </c>
      <c r="U859" s="11">
        <v>-43.8893892441817</v>
      </c>
    </row>
    <row r="860" spans="1:21">
      <c r="A860" s="11" t="s">
        <v>4679</v>
      </c>
      <c r="G860" s="11" t="s">
        <v>4680</v>
      </c>
      <c r="H860" s="11">
        <v>111</v>
      </c>
      <c r="J860" s="11" t="s">
        <v>4681</v>
      </c>
      <c r="K860" s="11" t="s">
        <v>4682</v>
      </c>
      <c r="L860" s="11" t="s">
        <v>4683</v>
      </c>
      <c r="M860" s="11" t="s">
        <v>68</v>
      </c>
      <c r="P860" s="13" t="s">
        <v>4681</v>
      </c>
      <c r="Q860" s="13" t="s">
        <v>4684</v>
      </c>
      <c r="R860" s="11">
        <v>-43.3518338399629</v>
      </c>
      <c r="T860" s="11">
        <v>-22.796796771232</v>
      </c>
      <c r="U860" s="11">
        <v>-43.3518338399629</v>
      </c>
    </row>
    <row r="861" spans="1:21">
      <c r="A861" s="11" t="s">
        <v>4685</v>
      </c>
      <c r="G861" s="11" t="s">
        <v>4686</v>
      </c>
      <c r="H861" s="11">
        <v>111</v>
      </c>
      <c r="J861" s="11" t="s">
        <v>4681</v>
      </c>
      <c r="K861" s="11" t="s">
        <v>4682</v>
      </c>
      <c r="L861" s="11" t="s">
        <v>4683</v>
      </c>
      <c r="M861" s="11" t="s">
        <v>68</v>
      </c>
      <c r="P861" s="13" t="s">
        <v>4681</v>
      </c>
      <c r="Q861" s="13" t="s">
        <v>4684</v>
      </c>
      <c r="R861" s="11">
        <v>-43.3518338399629</v>
      </c>
      <c r="T861" s="11">
        <v>-22.796796771232</v>
      </c>
      <c r="U861" s="11">
        <v>-43.3518338399629</v>
      </c>
    </row>
    <row r="862" spans="1:21">
      <c r="A862" s="11" t="s">
        <v>4687</v>
      </c>
      <c r="G862" s="11" t="s">
        <v>4688</v>
      </c>
      <c r="H862" s="11">
        <v>207</v>
      </c>
      <c r="I862" s="11" t="s">
        <v>4689</v>
      </c>
      <c r="J862" s="11" t="s">
        <v>4690</v>
      </c>
      <c r="K862" s="11" t="s">
        <v>4691</v>
      </c>
      <c r="L862" s="11" t="s">
        <v>4692</v>
      </c>
      <c r="M862" s="11" t="s">
        <v>78</v>
      </c>
      <c r="P862" s="13" t="s">
        <v>4690</v>
      </c>
      <c r="Q862" s="13" t="s">
        <v>4693</v>
      </c>
      <c r="R862" s="11">
        <v>-47.008550644181703</v>
      </c>
      <c r="T862" s="11">
        <v>-21.473327309657702</v>
      </c>
      <c r="U862" s="11">
        <v>-47.008550644181703</v>
      </c>
    </row>
    <row r="864" spans="1:21">
      <c r="A864" s="11" t="s">
        <v>4694</v>
      </c>
      <c r="G864" s="11" t="s">
        <v>4695</v>
      </c>
      <c r="H864" s="11" t="s">
        <v>4696</v>
      </c>
      <c r="I864" s="11" t="s">
        <v>4697</v>
      </c>
      <c r="J864" s="11">
        <v>72015901</v>
      </c>
      <c r="K864" s="11" t="s">
        <v>4698</v>
      </c>
      <c r="L864" s="11" t="s">
        <v>4699</v>
      </c>
      <c r="M864" s="11" t="s">
        <v>749</v>
      </c>
      <c r="P864" s="13" t="s">
        <v>4700</v>
      </c>
      <c r="Q864" s="13" t="s">
        <v>4701</v>
      </c>
      <c r="R864" s="11">
        <v>-48.056683028836297</v>
      </c>
      <c r="T864" s="11">
        <v>-15.8358582495904</v>
      </c>
      <c r="U864" s="11">
        <v>-48.056683028836297</v>
      </c>
    </row>
    <row r="865" spans="1:21">
      <c r="A865" s="11" t="s">
        <v>4702</v>
      </c>
      <c r="G865" s="11" t="s">
        <v>4703</v>
      </c>
      <c r="H865" s="11" t="s">
        <v>4704</v>
      </c>
      <c r="I865" s="11" t="s">
        <v>4705</v>
      </c>
      <c r="J865" s="11" t="s">
        <v>4706</v>
      </c>
      <c r="K865" s="11" t="s">
        <v>4404</v>
      </c>
      <c r="L865" s="11" t="s">
        <v>4699</v>
      </c>
      <c r="M865" s="11" t="s">
        <v>749</v>
      </c>
      <c r="P865" s="13" t="s">
        <v>4706</v>
      </c>
      <c r="Q865" s="13" t="s">
        <v>4707</v>
      </c>
      <c r="R865" s="11">
        <v>-48.081221728836297</v>
      </c>
      <c r="T865" s="11">
        <v>-15.832784059505</v>
      </c>
      <c r="U865" s="11">
        <v>-48.081221728836297</v>
      </c>
    </row>
    <row r="866" spans="1:21">
      <c r="A866" s="11" t="s">
        <v>4708</v>
      </c>
      <c r="G866" s="11" t="s">
        <v>4709</v>
      </c>
      <c r="H866" s="11">
        <v>722</v>
      </c>
      <c r="J866" s="11" t="s">
        <v>4710</v>
      </c>
      <c r="K866" s="11" t="s">
        <v>39</v>
      </c>
      <c r="L866" s="11" t="s">
        <v>368</v>
      </c>
      <c r="M866" s="11" t="s">
        <v>281</v>
      </c>
      <c r="P866" s="13" t="s">
        <v>4710</v>
      </c>
      <c r="Q866" s="13" t="s">
        <v>4711</v>
      </c>
      <c r="R866" s="11">
        <v>-47.483420455818198</v>
      </c>
      <c r="T866" s="11">
        <v>-5.5305895460937302</v>
      </c>
      <c r="U866" s="11">
        <v>-47.483420455818198</v>
      </c>
    </row>
    <row r="868" spans="1:21">
      <c r="A868" s="11" t="s">
        <v>4712</v>
      </c>
      <c r="G868" s="11" t="s">
        <v>4713</v>
      </c>
      <c r="H868" s="11">
        <v>4121</v>
      </c>
      <c r="I868" s="11" t="s">
        <v>4714</v>
      </c>
      <c r="J868" s="11" t="s">
        <v>4715</v>
      </c>
      <c r="K868" s="11" t="s">
        <v>677</v>
      </c>
      <c r="L868" s="11" t="s">
        <v>4716</v>
      </c>
      <c r="M868" s="11" t="s">
        <v>679</v>
      </c>
      <c r="P868" s="13" t="s">
        <v>4715</v>
      </c>
      <c r="Q868" s="13" t="s">
        <v>4717</v>
      </c>
      <c r="R868" s="11">
        <v>-49.290918513490901</v>
      </c>
      <c r="T868" s="11">
        <v>-25.477562803915198</v>
      </c>
      <c r="U868" s="11">
        <v>-49.290918513490901</v>
      </c>
    </row>
    <row r="869" spans="1:21">
      <c r="A869" s="11" t="s">
        <v>4718</v>
      </c>
      <c r="G869" s="11" t="s">
        <v>4719</v>
      </c>
      <c r="H869" s="11">
        <v>337</v>
      </c>
      <c r="I869" s="11" t="s">
        <v>4720</v>
      </c>
      <c r="J869" s="11" t="s">
        <v>4721</v>
      </c>
      <c r="K869" s="11" t="s">
        <v>39</v>
      </c>
      <c r="L869" s="11" t="s">
        <v>741</v>
      </c>
      <c r="M869" s="11" t="s">
        <v>3544</v>
      </c>
      <c r="P869" s="13" t="s">
        <v>4721</v>
      </c>
      <c r="Q869" s="13" t="s">
        <v>4722</v>
      </c>
      <c r="R869" s="11">
        <v>-43.940179657672601</v>
      </c>
      <c r="T869" s="11">
        <v>-19.921288672628101</v>
      </c>
      <c r="U869" s="11">
        <v>-43.940179657672601</v>
      </c>
    </row>
    <row r="870" spans="1:21">
      <c r="A870" s="11" t="s">
        <v>4723</v>
      </c>
      <c r="G870" s="11" t="s">
        <v>4724</v>
      </c>
      <c r="H870" s="11" t="s">
        <v>129</v>
      </c>
      <c r="I870" s="11" t="s">
        <v>4725</v>
      </c>
      <c r="J870" s="11" t="s">
        <v>4726</v>
      </c>
      <c r="K870" s="11" t="s">
        <v>39</v>
      </c>
      <c r="L870" s="11" t="s">
        <v>4727</v>
      </c>
      <c r="M870" s="11" t="s">
        <v>679</v>
      </c>
      <c r="P870" s="13" t="s">
        <v>4726</v>
      </c>
      <c r="Q870" s="13" t="s">
        <v>4728</v>
      </c>
      <c r="R870" s="11">
        <v>-49.396722599999997</v>
      </c>
      <c r="T870" s="11">
        <v>-25.580970118542101</v>
      </c>
      <c r="U870" s="11">
        <v>-49.396722599999997</v>
      </c>
    </row>
    <row r="871" spans="1:21">
      <c r="A871" s="47" t="s">
        <v>4729</v>
      </c>
      <c r="G871" s="11" t="s">
        <v>4730</v>
      </c>
      <c r="H871" s="11">
        <v>703</v>
      </c>
      <c r="I871" s="11" t="s">
        <v>4731</v>
      </c>
      <c r="J871" s="11" t="s">
        <v>4732</v>
      </c>
      <c r="K871" s="11" t="s">
        <v>4733</v>
      </c>
      <c r="L871" s="11" t="s">
        <v>1705</v>
      </c>
      <c r="M871" s="11" t="s">
        <v>679</v>
      </c>
      <c r="P871" s="13" t="s">
        <v>4732</v>
      </c>
      <c r="Q871" s="13" t="s">
        <v>4734</v>
      </c>
      <c r="R871" s="11">
        <v>-50.152018304995003</v>
      </c>
      <c r="T871" s="13" t="s">
        <v>4734</v>
      </c>
      <c r="U871" s="11">
        <v>-50.152018304995003</v>
      </c>
    </row>
    <row r="872" spans="1:21">
      <c r="A872" s="11" t="s">
        <v>4735</v>
      </c>
      <c r="G872" s="11" t="s">
        <v>4736</v>
      </c>
      <c r="H872" s="11">
        <v>249</v>
      </c>
      <c r="I872" s="11" t="s">
        <v>4737</v>
      </c>
      <c r="J872" s="11" t="s">
        <v>4738</v>
      </c>
      <c r="K872" s="11" t="s">
        <v>4739</v>
      </c>
      <c r="L872" s="11" t="s">
        <v>741</v>
      </c>
      <c r="M872" s="11" t="s">
        <v>404</v>
      </c>
      <c r="P872" s="13" t="s">
        <v>4738</v>
      </c>
      <c r="Q872" s="13" t="s">
        <v>4740</v>
      </c>
      <c r="R872" s="11">
        <v>-44.015867857672603</v>
      </c>
      <c r="T872" s="11">
        <v>-19.9746118234455</v>
      </c>
      <c r="U872" s="11">
        <v>-44.015867857672603</v>
      </c>
    </row>
    <row r="873" spans="1:21">
      <c r="A873" s="11" t="s">
        <v>4741</v>
      </c>
      <c r="G873" s="11" t="s">
        <v>4742</v>
      </c>
      <c r="H873" s="11" t="s">
        <v>4743</v>
      </c>
      <c r="I873" s="11" t="s">
        <v>4744</v>
      </c>
      <c r="J873" s="11" t="s">
        <v>4745</v>
      </c>
      <c r="L873" s="11" t="s">
        <v>4746</v>
      </c>
      <c r="M873" s="11" t="s">
        <v>147</v>
      </c>
      <c r="P873" s="13" t="s">
        <v>4745</v>
      </c>
      <c r="Q873" s="13" t="s">
        <v>4747</v>
      </c>
      <c r="R873" s="11">
        <v>-37.3812803</v>
      </c>
      <c r="T873" s="13" t="s">
        <v>4747</v>
      </c>
      <c r="U873" s="11">
        <v>-37.3812803</v>
      </c>
    </row>
    <row r="874" spans="1:21">
      <c r="A874" s="11" t="s">
        <v>4748</v>
      </c>
      <c r="G874" s="11" t="s">
        <v>4749</v>
      </c>
      <c r="H874" s="11">
        <v>182</v>
      </c>
      <c r="J874" s="11" t="s">
        <v>4750</v>
      </c>
      <c r="K874" s="11" t="s">
        <v>39</v>
      </c>
      <c r="L874" s="11" t="s">
        <v>3027</v>
      </c>
      <c r="M874" s="11" t="s">
        <v>535</v>
      </c>
      <c r="P874" s="13" t="s">
        <v>4750</v>
      </c>
      <c r="Q874" s="13" t="s">
        <v>4751</v>
      </c>
      <c r="R874" s="11">
        <v>-52.095403871163597</v>
      </c>
      <c r="T874" s="11">
        <v>-32.032664969480201</v>
      </c>
      <c r="U874" s="11">
        <v>-52.095403871163597</v>
      </c>
    </row>
    <row r="875" spans="1:21">
      <c r="A875" s="11" t="s">
        <v>4752</v>
      </c>
      <c r="G875" s="11" t="s">
        <v>4753</v>
      </c>
      <c r="H875" s="11">
        <v>2053</v>
      </c>
      <c r="J875" s="11" t="s">
        <v>4152</v>
      </c>
      <c r="K875" s="11" t="s">
        <v>4754</v>
      </c>
      <c r="L875" s="11" t="s">
        <v>4755</v>
      </c>
      <c r="M875" s="11" t="s">
        <v>225</v>
      </c>
      <c r="P875" s="13" t="s">
        <v>4152</v>
      </c>
      <c r="Q875" s="13" t="s">
        <v>4756</v>
      </c>
      <c r="R875" s="11">
        <v>-48.885391399999897</v>
      </c>
      <c r="T875" s="11">
        <v>-1.71929225789203</v>
      </c>
      <c r="U875" s="11">
        <v>-48.885391399999897</v>
      </c>
    </row>
    <row r="876" spans="1:21">
      <c r="A876" s="11" t="s">
        <v>4757</v>
      </c>
      <c r="G876" s="11" t="s">
        <v>4758</v>
      </c>
      <c r="H876" s="11">
        <v>89</v>
      </c>
      <c r="I876" s="11" t="s">
        <v>4759</v>
      </c>
      <c r="J876" s="11" t="s">
        <v>4760</v>
      </c>
      <c r="K876" s="11" t="s">
        <v>4761</v>
      </c>
      <c r="L876" s="11" t="s">
        <v>4762</v>
      </c>
      <c r="M876" s="11" t="s">
        <v>404</v>
      </c>
      <c r="P876" s="13" t="s">
        <v>4760</v>
      </c>
      <c r="Q876" s="13" t="s">
        <v>4763</v>
      </c>
      <c r="R876" s="11">
        <v>-45.0006229288363</v>
      </c>
      <c r="T876" s="11">
        <v>-21.265386327897399</v>
      </c>
      <c r="U876" s="11">
        <v>-45.0006229288363</v>
      </c>
    </row>
    <row r="878" spans="1:21">
      <c r="A878" s="11" t="s">
        <v>4764</v>
      </c>
      <c r="G878" s="11" t="s">
        <v>4765</v>
      </c>
      <c r="H878" s="11" t="s">
        <v>4766</v>
      </c>
      <c r="I878" s="11" t="s">
        <v>4767</v>
      </c>
      <c r="J878" s="11" t="s">
        <v>4768</v>
      </c>
      <c r="K878" s="11" t="s">
        <v>4404</v>
      </c>
      <c r="L878" s="11" t="s">
        <v>4405</v>
      </c>
      <c r="M878" s="11" t="s">
        <v>749</v>
      </c>
      <c r="P878" s="13" t="s">
        <v>4768</v>
      </c>
      <c r="Q878" s="13" t="s">
        <v>4769</v>
      </c>
      <c r="R878" s="11">
        <v>-48.093893915345298</v>
      </c>
      <c r="T878" s="11">
        <v>-15.8095590017679</v>
      </c>
      <c r="U878" s="11">
        <v>-48.093893915345298</v>
      </c>
    </row>
    <row r="880" spans="1:21">
      <c r="A880" s="11" t="s">
        <v>4770</v>
      </c>
      <c r="G880" s="11" t="s">
        <v>4771</v>
      </c>
      <c r="H880" s="11">
        <v>830</v>
      </c>
      <c r="I880" s="11" t="s">
        <v>4772</v>
      </c>
      <c r="J880" s="47" t="s">
        <v>4773</v>
      </c>
      <c r="K880" s="11" t="s">
        <v>1462</v>
      </c>
      <c r="L880" s="11" t="s">
        <v>4774</v>
      </c>
      <c r="M880" s="11" t="s">
        <v>918</v>
      </c>
      <c r="P880" s="13" t="s">
        <v>4773</v>
      </c>
      <c r="Q880" s="13" t="s">
        <v>4775</v>
      </c>
      <c r="R880" s="11">
        <f>-40.2381351153453</f>
        <v>-40.238135115345301</v>
      </c>
      <c r="T880" s="11">
        <v>-20.213522000699399</v>
      </c>
      <c r="U880" s="11">
        <f>-40.2381351153453</f>
        <v>-40.238135115345301</v>
      </c>
    </row>
    <row r="881" spans="1:21">
      <c r="A881" s="11" t="s">
        <v>4776</v>
      </c>
      <c r="G881" s="11" t="s">
        <v>4777</v>
      </c>
      <c r="H881" s="11" t="s">
        <v>4778</v>
      </c>
      <c r="I881" s="11" t="s">
        <v>4779</v>
      </c>
      <c r="J881" s="11" t="s">
        <v>4780</v>
      </c>
      <c r="K881" s="11" t="s">
        <v>4781</v>
      </c>
      <c r="L881" s="11" t="s">
        <v>4782</v>
      </c>
      <c r="M881" s="11" t="s">
        <v>215</v>
      </c>
      <c r="P881" s="13" t="s">
        <v>4780</v>
      </c>
      <c r="Q881" s="13" t="s">
        <v>4783</v>
      </c>
      <c r="R881" s="11">
        <v>-35.266135098145497</v>
      </c>
      <c r="T881" s="11">
        <v>-5.9370676960830302</v>
      </c>
      <c r="U881" s="11">
        <v>-35.266135098145497</v>
      </c>
    </row>
    <row r="883" spans="1:21">
      <c r="A883" s="11" t="s">
        <v>4784</v>
      </c>
      <c r="G883" s="11" t="s">
        <v>4785</v>
      </c>
      <c r="H883" s="11">
        <v>140</v>
      </c>
      <c r="J883" s="11" t="s">
        <v>4786</v>
      </c>
      <c r="K883" s="11" t="s">
        <v>39</v>
      </c>
      <c r="L883" s="11" t="s">
        <v>4787</v>
      </c>
      <c r="M883" s="11" t="s">
        <v>918</v>
      </c>
      <c r="P883" s="13" t="s">
        <v>4786</v>
      </c>
      <c r="Q883" s="13" t="s">
        <v>4788</v>
      </c>
      <c r="R883" s="11">
        <v>-40.498436098145497</v>
      </c>
      <c r="T883" s="11">
        <v>-20.670443955608</v>
      </c>
      <c r="U883" s="11">
        <v>-40.498436098145497</v>
      </c>
    </row>
    <row r="885" spans="1:21">
      <c r="A885" s="11" t="s">
        <v>4789</v>
      </c>
      <c r="G885" s="11" t="s">
        <v>4790</v>
      </c>
      <c r="H885" s="11">
        <v>33</v>
      </c>
      <c r="J885" s="11" t="s">
        <v>4791</v>
      </c>
      <c r="K885" s="11" t="s">
        <v>39</v>
      </c>
      <c r="L885" s="11" t="s">
        <v>4792</v>
      </c>
      <c r="M885" s="11" t="s">
        <v>68</v>
      </c>
      <c r="P885" s="13" t="s">
        <v>4791</v>
      </c>
      <c r="Q885" s="13" t="s">
        <v>4793</v>
      </c>
      <c r="R885" s="11">
        <v>-42.0280226576727</v>
      </c>
      <c r="T885" s="11">
        <v>-22.967865395102599</v>
      </c>
      <c r="U885" s="11">
        <v>-42.0280226576727</v>
      </c>
    </row>
    <row r="886" spans="1:21">
      <c r="A886" s="11" t="s">
        <v>4794</v>
      </c>
      <c r="G886" s="11" t="s">
        <v>4795</v>
      </c>
      <c r="H886" s="11">
        <v>528</v>
      </c>
      <c r="I886" s="11" t="s">
        <v>4796</v>
      </c>
      <c r="J886" s="11" t="s">
        <v>4797</v>
      </c>
      <c r="K886" s="11" t="s">
        <v>4798</v>
      </c>
      <c r="L886" s="11" t="s">
        <v>4799</v>
      </c>
      <c r="M886" s="11" t="s">
        <v>257</v>
      </c>
      <c r="P886" s="13" t="s">
        <v>4797</v>
      </c>
      <c r="Q886" s="13" t="s">
        <v>4800</v>
      </c>
      <c r="R886" s="11">
        <v>-51.055425844181698</v>
      </c>
      <c r="T886" s="11">
        <v>6.6574798644288793E-2</v>
      </c>
      <c r="U886" s="11">
        <v>-51.055425844181698</v>
      </c>
    </row>
    <row r="888" spans="1:21">
      <c r="A888" s="11" t="s">
        <v>4801</v>
      </c>
      <c r="G888" s="11" t="s">
        <v>4802</v>
      </c>
      <c r="H888" s="11">
        <v>249</v>
      </c>
      <c r="J888" s="11" t="s">
        <v>4803</v>
      </c>
      <c r="K888" s="11" t="s">
        <v>214</v>
      </c>
      <c r="L888" s="11" t="s">
        <v>214</v>
      </c>
      <c r="M888" s="11" t="s">
        <v>29</v>
      </c>
      <c r="P888" s="13" t="s">
        <v>4803</v>
      </c>
      <c r="Q888" s="13" t="s">
        <v>4804</v>
      </c>
      <c r="R888" s="11">
        <v>-39.5786686153453</v>
      </c>
      <c r="T888" s="11">
        <v>-8.0915264146094703</v>
      </c>
      <c r="U888" s="11">
        <v>-39.5786686153453</v>
      </c>
    </row>
    <row r="890" spans="1:21">
      <c r="A890" s="11" t="s">
        <v>4805</v>
      </c>
      <c r="G890" s="11" t="s">
        <v>4806</v>
      </c>
      <c r="H890" s="11">
        <v>94</v>
      </c>
      <c r="I890" s="11" t="s">
        <v>4807</v>
      </c>
      <c r="J890" s="11" t="s">
        <v>4808</v>
      </c>
      <c r="K890" s="11" t="s">
        <v>4809</v>
      </c>
      <c r="L890" s="11" t="s">
        <v>4810</v>
      </c>
      <c r="M890" s="11" t="s">
        <v>1561</v>
      </c>
      <c r="P890" s="13" t="s">
        <v>4808</v>
      </c>
      <c r="Q890" s="13" t="s">
        <v>4811</v>
      </c>
      <c r="R890" s="11">
        <v>-55.710905876611001</v>
      </c>
      <c r="T890" s="11">
        <v>-12.5443437334216</v>
      </c>
      <c r="U890" s="11">
        <v>-55.710905876611001</v>
      </c>
    </row>
    <row r="892" spans="1:21">
      <c r="A892" s="11" t="s">
        <v>4812</v>
      </c>
      <c r="G892" s="11" t="s">
        <v>4357</v>
      </c>
      <c r="H892" s="11">
        <v>10535</v>
      </c>
      <c r="I892" s="11" t="s">
        <v>4813</v>
      </c>
      <c r="J892" s="11" t="s">
        <v>4814</v>
      </c>
      <c r="K892" s="11" t="s">
        <v>4815</v>
      </c>
      <c r="L892" s="11" t="s">
        <v>77</v>
      </c>
      <c r="M892" s="11" t="s">
        <v>78</v>
      </c>
      <c r="P892" s="13" t="s">
        <v>4814</v>
      </c>
      <c r="Q892" s="13" t="s">
        <v>4816</v>
      </c>
      <c r="R892" s="11">
        <v>-46.722194757672597</v>
      </c>
      <c r="T892" s="11">
        <v>-23.448921251693601</v>
      </c>
      <c r="U892" s="11">
        <v>-46.722194757672597</v>
      </c>
    </row>
    <row r="893" spans="1:21">
      <c r="A893" s="11" t="s">
        <v>4817</v>
      </c>
      <c r="G893" s="11" t="s">
        <v>3577</v>
      </c>
      <c r="H893" s="11">
        <v>324</v>
      </c>
      <c r="I893" s="11" t="s">
        <v>4818</v>
      </c>
      <c r="J893" s="11" t="s">
        <v>3579</v>
      </c>
      <c r="K893" s="11" t="s">
        <v>3580</v>
      </c>
      <c r="L893" s="11" t="s">
        <v>755</v>
      </c>
      <c r="M893" s="11" t="s">
        <v>86</v>
      </c>
      <c r="P893" s="13" t="s">
        <v>3579</v>
      </c>
      <c r="Q893" s="13" t="s">
        <v>4819</v>
      </c>
      <c r="R893" s="11">
        <v>-38.477267573017997</v>
      </c>
      <c r="T893" s="11">
        <v>-12.9686221586367</v>
      </c>
      <c r="U893" s="11">
        <v>-38.477267573017997</v>
      </c>
    </row>
    <row r="894" spans="1:21">
      <c r="A894" s="11" t="s">
        <v>4820</v>
      </c>
      <c r="G894" s="11" t="s">
        <v>4821</v>
      </c>
      <c r="H894" s="11">
        <v>176</v>
      </c>
      <c r="J894" s="11" t="s">
        <v>4822</v>
      </c>
      <c r="K894" s="11" t="s">
        <v>4823</v>
      </c>
      <c r="L894" s="11" t="s">
        <v>28</v>
      </c>
      <c r="M894" s="11" t="s">
        <v>29</v>
      </c>
      <c r="P894" s="13" t="s">
        <v>4822</v>
      </c>
      <c r="Q894" s="13" t="s">
        <v>4824</v>
      </c>
      <c r="R894" s="11">
        <v>-34.908043923017999</v>
      </c>
      <c r="T894" s="11">
        <v>-8.0795023473881802</v>
      </c>
      <c r="U894" s="11">
        <v>-34.908043923017999</v>
      </c>
    </row>
    <row r="895" spans="1:21">
      <c r="A895" s="11" t="s">
        <v>4825</v>
      </c>
      <c r="G895" s="11" t="s">
        <v>4826</v>
      </c>
      <c r="H895" s="48" t="s">
        <v>4827</v>
      </c>
      <c r="J895" s="11" t="s">
        <v>4828</v>
      </c>
      <c r="K895" s="11" t="s">
        <v>4829</v>
      </c>
      <c r="L895" s="11" t="s">
        <v>3072</v>
      </c>
      <c r="M895" s="11" t="s">
        <v>78</v>
      </c>
      <c r="P895" s="13" t="s">
        <v>4828</v>
      </c>
      <c r="Q895" s="13" t="s">
        <v>4830</v>
      </c>
      <c r="R895" s="11">
        <v>-49.039751855818203</v>
      </c>
      <c r="T895" s="11">
        <v>-22.293478210886899</v>
      </c>
      <c r="U895" s="11">
        <v>-49.039751855818203</v>
      </c>
    </row>
    <row r="896" spans="1:21">
      <c r="A896" s="11" t="s">
        <v>4831</v>
      </c>
      <c r="G896" s="11" t="s">
        <v>4832</v>
      </c>
      <c r="H896" s="11">
        <v>549</v>
      </c>
      <c r="J896" s="11" t="s">
        <v>4833</v>
      </c>
      <c r="K896" s="11" t="s">
        <v>4834</v>
      </c>
      <c r="L896" s="11" t="s">
        <v>4835</v>
      </c>
      <c r="M896" s="11" t="s">
        <v>391</v>
      </c>
      <c r="P896" s="13" t="s">
        <v>4833</v>
      </c>
      <c r="Q896" s="13" t="s">
        <v>4836</v>
      </c>
      <c r="R896" s="11">
        <v>-44.3577217576726</v>
      </c>
      <c r="T896" s="11">
        <v>-9.0715359152623005</v>
      </c>
      <c r="U896" s="11">
        <v>-44.3577217576726</v>
      </c>
    </row>
    <row r="897" spans="1:21">
      <c r="A897" s="11" t="s">
        <v>4837</v>
      </c>
      <c r="G897" s="11" t="s">
        <v>4838</v>
      </c>
      <c r="H897" s="11">
        <v>8</v>
      </c>
      <c r="J897" s="11" t="s">
        <v>4839</v>
      </c>
      <c r="K897" s="11" t="s">
        <v>39</v>
      </c>
      <c r="L897" s="11" t="s">
        <v>4840</v>
      </c>
      <c r="M897" s="11" t="s">
        <v>68</v>
      </c>
      <c r="P897" s="13" t="s">
        <v>4839</v>
      </c>
      <c r="Q897" s="13" t="s">
        <v>4841</v>
      </c>
      <c r="R897" s="11">
        <v>-43.123737144181703</v>
      </c>
      <c r="T897" s="11">
        <v>-22.8965674371488</v>
      </c>
      <c r="U897" s="11">
        <v>-43.123737144181703</v>
      </c>
    </row>
    <row r="898" spans="1:21">
      <c r="A898" s="11" t="s">
        <v>4842</v>
      </c>
      <c r="G898" s="11" t="s">
        <v>4008</v>
      </c>
      <c r="H898" s="11">
        <v>268</v>
      </c>
      <c r="I898" s="11" t="s">
        <v>4843</v>
      </c>
      <c r="J898" s="11" t="s">
        <v>4844</v>
      </c>
      <c r="K898" s="11" t="s">
        <v>39</v>
      </c>
      <c r="L898" s="11" t="s">
        <v>4845</v>
      </c>
      <c r="M898" s="11" t="s">
        <v>105</v>
      </c>
      <c r="P898" s="13" t="s">
        <v>4844</v>
      </c>
      <c r="Q898" s="13" t="s">
        <v>4846</v>
      </c>
      <c r="R898" s="11">
        <v>-49.084860771163598</v>
      </c>
      <c r="T898" s="11">
        <v>-26.479895232865498</v>
      </c>
      <c r="U898" s="11">
        <v>-49.084860771163598</v>
      </c>
    </row>
    <row r="899" spans="1:21">
      <c r="A899" s="11" t="s">
        <v>4847</v>
      </c>
      <c r="G899" s="11" t="s">
        <v>4848</v>
      </c>
      <c r="H899" s="11" t="s">
        <v>129</v>
      </c>
      <c r="J899" s="11" t="s">
        <v>4849</v>
      </c>
      <c r="K899" s="11" t="s">
        <v>4850</v>
      </c>
      <c r="L899" s="11" t="s">
        <v>4851</v>
      </c>
      <c r="M899" s="11" t="s">
        <v>78</v>
      </c>
      <c r="P899" s="13" t="s">
        <v>4849</v>
      </c>
      <c r="Q899" s="13" t="s">
        <v>4852</v>
      </c>
      <c r="R899" s="11">
        <v>-49.5295716627571</v>
      </c>
      <c r="T899" s="11">
        <v>-23.086127086608698</v>
      </c>
      <c r="U899" s="11">
        <v>-49.5295716627571</v>
      </c>
    </row>
    <row r="901" spans="1:21">
      <c r="A901" s="11" t="s">
        <v>4853</v>
      </c>
      <c r="G901" s="11" t="s">
        <v>4854</v>
      </c>
      <c r="H901" s="11">
        <v>654</v>
      </c>
      <c r="J901" s="11" t="s">
        <v>4855</v>
      </c>
      <c r="L901" s="11" t="s">
        <v>4856</v>
      </c>
      <c r="M901" s="11" t="s">
        <v>354</v>
      </c>
      <c r="P901" s="13" t="s">
        <v>4855</v>
      </c>
      <c r="Q901" s="13" t="s">
        <v>4857</v>
      </c>
      <c r="R901" s="11">
        <v>-40.576846013490901</v>
      </c>
      <c r="T901" s="11">
        <v>-4.1362450370951596</v>
      </c>
      <c r="U901" s="11">
        <v>-40.576846013490901</v>
      </c>
    </row>
    <row r="902" spans="1:21">
      <c r="A902" s="11" t="s">
        <v>4858</v>
      </c>
      <c r="G902" s="11" t="s">
        <v>4859</v>
      </c>
      <c r="H902" s="11">
        <v>25</v>
      </c>
      <c r="J902" s="11" t="s">
        <v>4860</v>
      </c>
      <c r="K902" s="11" t="s">
        <v>4861</v>
      </c>
      <c r="L902" s="11" t="s">
        <v>77</v>
      </c>
      <c r="M902" s="11" t="s">
        <v>78</v>
      </c>
      <c r="P902" s="11" t="s">
        <v>4860</v>
      </c>
      <c r="Q902" s="13" t="s">
        <v>4862</v>
      </c>
      <c r="R902" s="11">
        <v>-46.729185030690701</v>
      </c>
      <c r="T902" s="13" t="s">
        <v>4862</v>
      </c>
      <c r="U902" s="11">
        <v>-46.729185030690701</v>
      </c>
    </row>
    <row r="903" spans="1:21">
      <c r="A903" s="11" t="s">
        <v>4863</v>
      </c>
      <c r="G903" s="11" t="s">
        <v>4864</v>
      </c>
      <c r="H903" s="11" t="s">
        <v>129</v>
      </c>
      <c r="I903" s="11" t="s">
        <v>4865</v>
      </c>
      <c r="J903" s="11" t="s">
        <v>4866</v>
      </c>
      <c r="K903" s="11" t="s">
        <v>39</v>
      </c>
      <c r="L903" s="11" t="s">
        <v>4867</v>
      </c>
      <c r="M903" s="11" t="s">
        <v>86</v>
      </c>
      <c r="P903" s="13" t="s">
        <v>4866</v>
      </c>
      <c r="Q903" s="13" t="s">
        <v>4868</v>
      </c>
      <c r="R903" s="11">
        <v>-39.375787913490903</v>
      </c>
      <c r="T903" s="11">
        <v>-11.2538552076687</v>
      </c>
      <c r="U903" s="11">
        <v>-39.375787913490903</v>
      </c>
    </row>
    <row r="904" spans="1:21">
      <c r="A904" s="11" t="s">
        <v>4869</v>
      </c>
      <c r="G904" s="11" t="s">
        <v>4790</v>
      </c>
      <c r="H904" s="11">
        <v>10</v>
      </c>
      <c r="J904" s="11" t="s">
        <v>4870</v>
      </c>
      <c r="K904" s="11" t="s">
        <v>4871</v>
      </c>
      <c r="L904" s="11" t="s">
        <v>4872</v>
      </c>
      <c r="M904" s="11" t="s">
        <v>86</v>
      </c>
      <c r="P904" s="11" t="s">
        <v>4870</v>
      </c>
      <c r="Q904" s="13" t="s">
        <v>4873</v>
      </c>
      <c r="R904" s="11">
        <v>-39.433140344181702</v>
      </c>
      <c r="T904" s="13" t="s">
        <v>4873</v>
      </c>
      <c r="U904" s="11">
        <v>-39.433140344181702</v>
      </c>
    </row>
    <row r="906" spans="1:21">
      <c r="A906" s="11" t="s">
        <v>4874</v>
      </c>
      <c r="G906" s="11" t="s">
        <v>4875</v>
      </c>
      <c r="H906" s="11">
        <v>292</v>
      </c>
      <c r="J906" s="11" t="s">
        <v>4876</v>
      </c>
      <c r="K906" s="11" t="s">
        <v>677</v>
      </c>
      <c r="L906" s="11" t="s">
        <v>4716</v>
      </c>
      <c r="M906" s="11" t="s">
        <v>679</v>
      </c>
      <c r="P906" s="13" t="s">
        <v>4876</v>
      </c>
      <c r="Q906" s="13" t="s">
        <v>4877</v>
      </c>
      <c r="R906" s="11">
        <v>-49.294386299999999</v>
      </c>
      <c r="T906" s="11">
        <v>-25.478352177937001</v>
      </c>
      <c r="U906" s="11">
        <v>-49.294386299999999</v>
      </c>
    </row>
    <row r="907" spans="1:21">
      <c r="A907" s="11" t="s">
        <v>4847</v>
      </c>
      <c r="G907" s="11" t="s">
        <v>4848</v>
      </c>
      <c r="H907" s="11" t="s">
        <v>4878</v>
      </c>
      <c r="J907" s="11" t="s">
        <v>4849</v>
      </c>
      <c r="K907" s="11" t="s">
        <v>4850</v>
      </c>
      <c r="L907" s="11" t="s">
        <v>4851</v>
      </c>
      <c r="M907" s="11" t="s">
        <v>78</v>
      </c>
      <c r="P907" s="13" t="s">
        <v>4849</v>
      </c>
      <c r="Q907" s="13" t="s">
        <v>4879</v>
      </c>
      <c r="R907" s="11">
        <v>-49.863213089301098</v>
      </c>
      <c r="T907" s="11">
        <v>-22.966137224003301</v>
      </c>
      <c r="U907" s="11">
        <v>-49.863213089301098</v>
      </c>
    </row>
    <row r="908" spans="1:21">
      <c r="A908" s="11" t="s">
        <v>4880</v>
      </c>
      <c r="G908" s="11" t="s">
        <v>4881</v>
      </c>
      <c r="H908" s="11">
        <v>18</v>
      </c>
      <c r="J908" s="11" t="s">
        <v>4882</v>
      </c>
      <c r="K908" s="11" t="s">
        <v>3652</v>
      </c>
      <c r="L908" s="11" t="s">
        <v>4883</v>
      </c>
      <c r="M908" s="11" t="s">
        <v>281</v>
      </c>
      <c r="P908" s="13" t="s">
        <v>4882</v>
      </c>
      <c r="Q908" s="13" t="s">
        <v>4884</v>
      </c>
      <c r="R908" s="11">
        <v>-43.013356953901003</v>
      </c>
      <c r="T908" s="11">
        <v>-4.2568293615231596</v>
      </c>
      <c r="U908" s="11">
        <v>-43.013356953901003</v>
      </c>
    </row>
    <row r="909" spans="1:21">
      <c r="A909" s="11" t="s">
        <v>4885</v>
      </c>
      <c r="G909" s="11" t="s">
        <v>4886</v>
      </c>
      <c r="H909" s="11">
        <v>50</v>
      </c>
      <c r="J909" s="11" t="s">
        <v>4887</v>
      </c>
      <c r="K909" s="11" t="s">
        <v>4888</v>
      </c>
      <c r="L909" s="11" t="s">
        <v>4889</v>
      </c>
      <c r="M909" s="11" t="s">
        <v>404</v>
      </c>
      <c r="P909" s="13" t="s">
        <v>4887</v>
      </c>
      <c r="Q909" s="13" t="s">
        <v>4890</v>
      </c>
      <c r="R909" s="11">
        <v>-47.978328699999999</v>
      </c>
      <c r="T909" s="11">
        <v>-19.7569546900144</v>
      </c>
      <c r="U909" s="11">
        <v>-47.978328699999999</v>
      </c>
    </row>
    <row r="910" spans="1:21">
      <c r="A910" s="11" t="s">
        <v>4891</v>
      </c>
      <c r="G910" s="11" t="s">
        <v>4892</v>
      </c>
      <c r="H910" s="11" t="s">
        <v>4893</v>
      </c>
      <c r="I910" s="11" t="s">
        <v>4894</v>
      </c>
      <c r="J910" s="11" t="s">
        <v>4895</v>
      </c>
      <c r="K910" s="11" t="s">
        <v>4896</v>
      </c>
      <c r="L910" s="11" t="s">
        <v>4475</v>
      </c>
      <c r="M910" s="11" t="s">
        <v>723</v>
      </c>
      <c r="P910" s="13" t="s">
        <v>4895</v>
      </c>
      <c r="Q910" s="13" t="s">
        <v>4897</v>
      </c>
      <c r="R910" s="11">
        <v>-49.311967844181702</v>
      </c>
      <c r="T910" s="11">
        <v>-16.709364594273602</v>
      </c>
      <c r="U910" s="11">
        <v>-49.311967844181702</v>
      </c>
    </row>
    <row r="911" spans="1:21">
      <c r="A911" s="11" t="s">
        <v>4898</v>
      </c>
      <c r="G911" s="11" t="s">
        <v>4899</v>
      </c>
      <c r="H911" s="11">
        <v>297</v>
      </c>
      <c r="J911" s="11" t="s">
        <v>4900</v>
      </c>
      <c r="K911" s="11" t="s">
        <v>4901</v>
      </c>
      <c r="L911" s="11" t="s">
        <v>4902</v>
      </c>
      <c r="M911" s="11" t="s">
        <v>404</v>
      </c>
      <c r="P911" s="13" t="s">
        <v>4900</v>
      </c>
      <c r="Q911" s="13" t="s">
        <v>4903</v>
      </c>
      <c r="R911" s="11">
        <v>-49.489020013490901</v>
      </c>
      <c r="T911" s="11">
        <v>-18.967556877263402</v>
      </c>
      <c r="U911" s="11">
        <v>-49.489020013490901</v>
      </c>
    </row>
    <row r="912" spans="1:21">
      <c r="A912" s="11" t="s">
        <v>4904</v>
      </c>
      <c r="G912" s="11" t="s">
        <v>4905</v>
      </c>
      <c r="H912" s="11">
        <v>4984</v>
      </c>
      <c r="J912" s="11" t="s">
        <v>4906</v>
      </c>
      <c r="K912" s="11" t="s">
        <v>898</v>
      </c>
      <c r="L912" s="11" t="s">
        <v>4716</v>
      </c>
      <c r="M912" s="11" t="s">
        <v>679</v>
      </c>
      <c r="P912" s="13" t="s">
        <v>4906</v>
      </c>
      <c r="Q912" s="13" t="s">
        <v>4907</v>
      </c>
      <c r="R912" s="11">
        <v>-49.252473701854399</v>
      </c>
      <c r="T912" s="11">
        <v>-25.472198766785802</v>
      </c>
      <c r="U912" s="11">
        <v>-49.252473701854399</v>
      </c>
    </row>
    <row r="913" spans="1:21">
      <c r="A913" s="11" t="s">
        <v>4908</v>
      </c>
      <c r="G913" s="11" t="s">
        <v>4909</v>
      </c>
      <c r="H913" s="11" t="s">
        <v>4910</v>
      </c>
      <c r="J913" s="11" t="s">
        <v>4911</v>
      </c>
      <c r="K913" s="11" t="s">
        <v>4912</v>
      </c>
      <c r="L913" s="11" t="s">
        <v>77</v>
      </c>
      <c r="M913" s="11" t="s">
        <v>78</v>
      </c>
      <c r="P913" s="13" t="s">
        <v>4911</v>
      </c>
      <c r="Q913" s="13" t="s">
        <v>4913</v>
      </c>
      <c r="R913" s="11">
        <v>-46.602779215345301</v>
      </c>
      <c r="T913" s="11">
        <v>-23.480086932291101</v>
      </c>
      <c r="U913" s="11">
        <v>-46.602779215345301</v>
      </c>
    </row>
    <row r="914" spans="1:21">
      <c r="A914" s="11" t="s">
        <v>4914</v>
      </c>
      <c r="G914" s="11" t="s">
        <v>4915</v>
      </c>
      <c r="H914" s="11">
        <v>26</v>
      </c>
      <c r="J914" s="11" t="s">
        <v>4916</v>
      </c>
      <c r="K914" s="11" t="s">
        <v>39</v>
      </c>
      <c r="L914" s="11" t="s">
        <v>4917</v>
      </c>
      <c r="M914" s="11" t="s">
        <v>354</v>
      </c>
      <c r="P914" s="13" t="s">
        <v>4916</v>
      </c>
      <c r="Q914" s="13" t="s">
        <v>4918</v>
      </c>
      <c r="R914" s="11">
        <v>-38.986023815345298</v>
      </c>
      <c r="T914" s="11">
        <v>-7.4942095748317996</v>
      </c>
      <c r="U914" s="11">
        <v>-38.986023815345298</v>
      </c>
    </row>
    <row r="915" spans="1:21">
      <c r="A915" s="11" t="s">
        <v>4919</v>
      </c>
      <c r="G915" s="11" t="s">
        <v>4920</v>
      </c>
      <c r="H915" s="11">
        <v>377</v>
      </c>
      <c r="J915" s="11" t="s">
        <v>4921</v>
      </c>
      <c r="K915" s="11" t="s">
        <v>3668</v>
      </c>
      <c r="L915" s="11" t="s">
        <v>4922</v>
      </c>
      <c r="M915" s="11" t="s">
        <v>29</v>
      </c>
      <c r="P915" s="13" t="s">
        <v>4921</v>
      </c>
      <c r="Q915" s="13" t="s">
        <v>4923</v>
      </c>
      <c r="R915" s="11">
        <v>-34.955742073018001</v>
      </c>
      <c r="T915" s="11">
        <v>-8.0357636420083001</v>
      </c>
      <c r="U915" s="11">
        <v>-34.955742073018001</v>
      </c>
    </row>
    <row r="916" spans="1:21">
      <c r="A916" s="11" t="s">
        <v>4924</v>
      </c>
      <c r="G916" s="11" t="s">
        <v>4925</v>
      </c>
      <c r="H916" s="11">
        <v>3901</v>
      </c>
      <c r="I916" s="11" t="s">
        <v>4926</v>
      </c>
      <c r="J916" s="11" t="s">
        <v>4927</v>
      </c>
      <c r="K916" s="11" t="s">
        <v>4928</v>
      </c>
      <c r="L916" s="11" t="s">
        <v>722</v>
      </c>
      <c r="M916" s="11" t="s">
        <v>723</v>
      </c>
      <c r="P916" s="13" t="s">
        <v>4927</v>
      </c>
      <c r="Q916" s="13" t="s">
        <v>4929</v>
      </c>
      <c r="R916" s="13" t="s">
        <v>4930</v>
      </c>
      <c r="T916" s="13" t="s">
        <v>4929</v>
      </c>
      <c r="U916" s="13" t="s">
        <v>4930</v>
      </c>
    </row>
    <row r="917" spans="1:21">
      <c r="A917" s="11" t="s">
        <v>4931</v>
      </c>
      <c r="G917" t="s">
        <v>4932</v>
      </c>
      <c r="H917" s="11" t="s">
        <v>129</v>
      </c>
      <c r="I917" t="s">
        <v>4933</v>
      </c>
      <c r="J917" t="s">
        <v>4934</v>
      </c>
      <c r="K917" s="50" t="s">
        <v>3439</v>
      </c>
      <c r="L917" s="50" t="s">
        <v>4935</v>
      </c>
      <c r="M917" s="11" t="s">
        <v>86</v>
      </c>
      <c r="P917" t="s">
        <v>4934</v>
      </c>
      <c r="Q917" s="13" t="s">
        <v>4936</v>
      </c>
      <c r="R917" s="13" t="s">
        <v>4937</v>
      </c>
      <c r="T917" s="13" t="s">
        <v>4936</v>
      </c>
      <c r="U917" s="13" t="s">
        <v>4937</v>
      </c>
    </row>
    <row r="918" spans="1:21">
      <c r="A918" t="s">
        <v>4938</v>
      </c>
      <c r="G918" t="s">
        <v>4939</v>
      </c>
      <c r="H918" s="11">
        <v>126</v>
      </c>
      <c r="I918" t="s">
        <v>4940</v>
      </c>
      <c r="J918" t="s">
        <v>4941</v>
      </c>
      <c r="K918" t="s">
        <v>2783</v>
      </c>
      <c r="L918" t="s">
        <v>2783</v>
      </c>
      <c r="M918" s="11" t="s">
        <v>68</v>
      </c>
      <c r="P918" t="s">
        <v>4941</v>
      </c>
      <c r="Q918" s="13" t="s">
        <v>4942</v>
      </c>
      <c r="R918" s="13" t="s">
        <v>4943</v>
      </c>
      <c r="T918" s="13" t="s">
        <v>4942</v>
      </c>
      <c r="U918" s="13" t="s">
        <v>4943</v>
      </c>
    </row>
    <row r="919" spans="1:21">
      <c r="A919" s="50" t="s">
        <v>4944</v>
      </c>
      <c r="G919" t="s">
        <v>4945</v>
      </c>
      <c r="H919" s="11">
        <v>5474</v>
      </c>
      <c r="I919" t="s">
        <v>4946</v>
      </c>
      <c r="J919" t="s">
        <v>4947</v>
      </c>
      <c r="K919" t="s">
        <v>3224</v>
      </c>
      <c r="L919" s="11" t="s">
        <v>3630</v>
      </c>
      <c r="M919" s="11" t="s">
        <v>68</v>
      </c>
      <c r="P919" t="s">
        <v>4947</v>
      </c>
      <c r="Q919" s="13" t="s">
        <v>4948</v>
      </c>
      <c r="R919" s="13" t="s">
        <v>4949</v>
      </c>
      <c r="T919" s="13" t="s">
        <v>4948</v>
      </c>
      <c r="U919" s="13" t="s">
        <v>4949</v>
      </c>
    </row>
    <row r="920" spans="1:21">
      <c r="A920" s="11" t="s">
        <v>4950</v>
      </c>
      <c r="G920" s="11" t="s">
        <v>4951</v>
      </c>
      <c r="H920" s="11">
        <v>2895</v>
      </c>
      <c r="I920" s="11" t="s">
        <v>4952</v>
      </c>
      <c r="J920" s="11" t="s">
        <v>4953</v>
      </c>
      <c r="K920" s="11" t="s">
        <v>4954</v>
      </c>
      <c r="L920" s="11" t="s">
        <v>4955</v>
      </c>
      <c r="M920" s="11" t="s">
        <v>68</v>
      </c>
      <c r="P920" s="13" t="s">
        <v>4953</v>
      </c>
      <c r="Q920" s="13" t="s">
        <v>4956</v>
      </c>
      <c r="R920" s="13" t="s">
        <v>4957</v>
      </c>
      <c r="T920" s="13" t="s">
        <v>4956</v>
      </c>
      <c r="U920" s="13" t="s">
        <v>4957</v>
      </c>
    </row>
    <row r="921" spans="1:21">
      <c r="A921" s="11" t="s">
        <v>4958</v>
      </c>
      <c r="G921" s="11" t="s">
        <v>4959</v>
      </c>
      <c r="H921" s="11">
        <v>330</v>
      </c>
      <c r="I921" s="11" t="s">
        <v>4960</v>
      </c>
      <c r="J921" s="11" t="s">
        <v>4961</v>
      </c>
      <c r="K921" s="11" t="s">
        <v>4962</v>
      </c>
      <c r="L921" s="11" t="s">
        <v>4963</v>
      </c>
      <c r="M921" s="11" t="s">
        <v>68</v>
      </c>
      <c r="P921" s="13" t="s">
        <v>4961</v>
      </c>
      <c r="Q921" s="13" t="s">
        <v>4964</v>
      </c>
      <c r="R921" s="13" t="s">
        <v>4965</v>
      </c>
      <c r="T921" s="13" t="s">
        <v>4964</v>
      </c>
      <c r="U921" s="13" t="s">
        <v>4965</v>
      </c>
    </row>
    <row r="922" spans="1:21">
      <c r="A922" s="11" t="s">
        <v>4966</v>
      </c>
      <c r="G922" s="11" t="s">
        <v>4967</v>
      </c>
      <c r="H922" s="11">
        <v>5160</v>
      </c>
      <c r="I922" s="11" t="s">
        <v>4968</v>
      </c>
      <c r="J922" s="11" t="s">
        <v>4969</v>
      </c>
      <c r="K922" s="11" t="s">
        <v>4970</v>
      </c>
      <c r="L922" s="11" t="s">
        <v>2500</v>
      </c>
      <c r="M922" s="11" t="s">
        <v>404</v>
      </c>
      <c r="P922" s="13" t="s">
        <v>4969</v>
      </c>
      <c r="Q922" s="13" t="s">
        <v>4971</v>
      </c>
      <c r="R922" s="13" t="s">
        <v>4972</v>
      </c>
      <c r="T922" s="13" t="s">
        <v>4971</v>
      </c>
      <c r="U922" s="13" t="s">
        <v>4972</v>
      </c>
    </row>
    <row r="923" spans="1:21">
      <c r="A923" s="11" t="s">
        <v>4973</v>
      </c>
      <c r="G923" s="11" t="s">
        <v>4974</v>
      </c>
      <c r="H923" s="11">
        <v>344</v>
      </c>
      <c r="J923" s="11" t="s">
        <v>4975</v>
      </c>
      <c r="K923" s="11" t="s">
        <v>4976</v>
      </c>
      <c r="L923" s="11" t="s">
        <v>4977</v>
      </c>
      <c r="M923" s="11" t="s">
        <v>391</v>
      </c>
      <c r="P923" s="13" t="s">
        <v>4975</v>
      </c>
      <c r="Q923" s="13" t="s">
        <v>4978</v>
      </c>
      <c r="R923" s="13" t="s">
        <v>4979</v>
      </c>
      <c r="T923" s="13" t="s">
        <v>4978</v>
      </c>
      <c r="U923" s="13" t="s">
        <v>4979</v>
      </c>
    </row>
    <row r="924" spans="1:21">
      <c r="A924" t="s">
        <v>4980</v>
      </c>
      <c r="G924" s="49" t="s">
        <v>4981</v>
      </c>
      <c r="H924" s="11" t="s">
        <v>4982</v>
      </c>
      <c r="I924" s="11" t="s">
        <v>4983</v>
      </c>
      <c r="J924" s="11" t="s">
        <v>4984</v>
      </c>
      <c r="K924" s="11" t="s">
        <v>4985</v>
      </c>
      <c r="L924" s="11" t="s">
        <v>3072</v>
      </c>
      <c r="M924" s="11" t="s">
        <v>78</v>
      </c>
      <c r="P924" s="13" t="s">
        <v>4984</v>
      </c>
      <c r="Q924" s="13" t="s">
        <v>4986</v>
      </c>
      <c r="R924" s="13" t="s">
        <v>4987</v>
      </c>
      <c r="T924" s="13" t="s">
        <v>4986</v>
      </c>
      <c r="U924" s="13" t="s">
        <v>4987</v>
      </c>
    </row>
    <row r="925" spans="1:21">
      <c r="A925" t="s">
        <v>4988</v>
      </c>
      <c r="G925" s="11" t="s">
        <v>4989</v>
      </c>
      <c r="H925" s="11" t="s">
        <v>129</v>
      </c>
      <c r="I925" s="11" t="s">
        <v>4990</v>
      </c>
      <c r="J925" s="11" t="s">
        <v>4991</v>
      </c>
      <c r="K925" s="11" t="s">
        <v>1718</v>
      </c>
      <c r="L925" s="11" t="s">
        <v>4992</v>
      </c>
      <c r="M925" s="11" t="s">
        <v>86</v>
      </c>
      <c r="P925" s="13" t="s">
        <v>4991</v>
      </c>
      <c r="Q925" s="13" t="s">
        <v>4993</v>
      </c>
      <c r="R925" s="13" t="s">
        <v>4994</v>
      </c>
      <c r="T925" s="13" t="s">
        <v>4993</v>
      </c>
      <c r="U925" s="13" t="s">
        <v>4994</v>
      </c>
    </row>
    <row r="926" spans="1:21">
      <c r="A926"/>
      <c r="K926"/>
      <c r="L926"/>
      <c r="R926" s="13"/>
      <c r="T926" s="13"/>
      <c r="U926" s="13"/>
    </row>
    <row r="927" spans="1:21">
      <c r="A927" t="s">
        <v>4995</v>
      </c>
      <c r="G927" t="s">
        <v>4996</v>
      </c>
      <c r="H927" s="11" t="s">
        <v>129</v>
      </c>
      <c r="I927" s="11" t="s">
        <v>4997</v>
      </c>
      <c r="J927" s="11" t="s">
        <v>4998</v>
      </c>
      <c r="K927" s="11" t="s">
        <v>4999</v>
      </c>
      <c r="L927" s="11" t="s">
        <v>3630</v>
      </c>
      <c r="M927" s="11" t="s">
        <v>68</v>
      </c>
      <c r="P927" s="13" t="s">
        <v>4998</v>
      </c>
      <c r="Q927" s="13" t="s">
        <v>5000</v>
      </c>
      <c r="R927" s="13" t="s">
        <v>5001</v>
      </c>
      <c r="T927" s="13" t="s">
        <v>5000</v>
      </c>
      <c r="U927" s="13" t="s">
        <v>5001</v>
      </c>
    </row>
    <row r="928" spans="1:21">
      <c r="A928" s="11" t="s">
        <v>5002</v>
      </c>
      <c r="G928" s="11" t="s">
        <v>5003</v>
      </c>
      <c r="H928" s="11" t="s">
        <v>5004</v>
      </c>
      <c r="I928" s="11" t="s">
        <v>5005</v>
      </c>
      <c r="J928" s="11" t="s">
        <v>5006</v>
      </c>
      <c r="K928" s="11" t="s">
        <v>5007</v>
      </c>
      <c r="L928" s="11" t="s">
        <v>4475</v>
      </c>
      <c r="M928" s="11" t="s">
        <v>723</v>
      </c>
      <c r="P928" s="13" t="s">
        <v>5006</v>
      </c>
      <c r="Q928" s="13" t="s">
        <v>5008</v>
      </c>
      <c r="R928" s="13" t="s">
        <v>5009</v>
      </c>
      <c r="T928" s="13" t="s">
        <v>5008</v>
      </c>
      <c r="U928" s="13" t="s">
        <v>5009</v>
      </c>
    </row>
    <row r="929" spans="1:21">
      <c r="A929" s="11" t="s">
        <v>5010</v>
      </c>
      <c r="G929" s="11" t="s">
        <v>5011</v>
      </c>
      <c r="H929" s="11">
        <v>1000</v>
      </c>
      <c r="I929" s="11" t="s">
        <v>5012</v>
      </c>
      <c r="J929" s="11" t="s">
        <v>5013</v>
      </c>
      <c r="K929" s="11" t="s">
        <v>39</v>
      </c>
      <c r="L929" s="11" t="s">
        <v>5014</v>
      </c>
      <c r="M929" s="11" t="s">
        <v>679</v>
      </c>
      <c r="P929" s="13" t="s">
        <v>5013</v>
      </c>
      <c r="Q929" s="13" t="s">
        <v>5015</v>
      </c>
      <c r="R929" s="13" t="s">
        <v>5016</v>
      </c>
      <c r="T929" s="13" t="s">
        <v>5015</v>
      </c>
      <c r="U929" s="13" t="s">
        <v>5016</v>
      </c>
    </row>
    <row r="930" spans="1:21">
      <c r="A930" s="11" t="s">
        <v>5017</v>
      </c>
      <c r="G930" s="11" t="s">
        <v>5018</v>
      </c>
      <c r="H930" s="11">
        <v>432</v>
      </c>
      <c r="I930" s="11" t="s">
        <v>5019</v>
      </c>
      <c r="J930" s="11" t="s">
        <v>5020</v>
      </c>
      <c r="K930" s="11" t="s">
        <v>5021</v>
      </c>
      <c r="L930" s="11" t="s">
        <v>5022</v>
      </c>
      <c r="M930" s="11" t="s">
        <v>86</v>
      </c>
      <c r="P930" s="13" t="s">
        <v>5020</v>
      </c>
      <c r="Q930" s="13" t="s">
        <v>5023</v>
      </c>
      <c r="R930" s="13" t="s">
        <v>5024</v>
      </c>
      <c r="T930" s="13" t="s">
        <v>5023</v>
      </c>
      <c r="U930" s="13" t="s">
        <v>5024</v>
      </c>
    </row>
    <row r="931" spans="1:21">
      <c r="A931" s="11" t="s">
        <v>5025</v>
      </c>
      <c r="G931" s="11" t="s">
        <v>5026</v>
      </c>
      <c r="H931" s="11">
        <v>161</v>
      </c>
      <c r="I931" s="11" t="s">
        <v>5026</v>
      </c>
      <c r="J931" s="11" t="s">
        <v>5027</v>
      </c>
      <c r="K931" s="11" t="s">
        <v>3439</v>
      </c>
      <c r="L931" s="11" t="s">
        <v>5028</v>
      </c>
      <c r="M931" s="11" t="s">
        <v>29</v>
      </c>
      <c r="P931" s="13" t="s">
        <v>5027</v>
      </c>
      <c r="Q931" s="13" t="s">
        <v>5029</v>
      </c>
      <c r="R931" s="13" t="s">
        <v>5030</v>
      </c>
      <c r="T931" s="13" t="s">
        <v>5029</v>
      </c>
      <c r="U931" s="13" t="s">
        <v>5030</v>
      </c>
    </row>
    <row r="932" spans="1:21">
      <c r="A932" s="11" t="s">
        <v>5031</v>
      </c>
      <c r="G932" t="s">
        <v>4967</v>
      </c>
      <c r="H932" s="11">
        <v>5160</v>
      </c>
      <c r="I932" s="11" t="s">
        <v>5032</v>
      </c>
      <c r="J932" s="11" t="s">
        <v>5033</v>
      </c>
      <c r="K932" s="11" t="s">
        <v>5034</v>
      </c>
      <c r="L932" s="11" t="s">
        <v>5035</v>
      </c>
      <c r="M932" s="11" t="s">
        <v>404</v>
      </c>
      <c r="P932" s="13" t="s">
        <v>5033</v>
      </c>
      <c r="Q932" s="13" t="s">
        <v>5036</v>
      </c>
      <c r="R932" s="13" t="s">
        <v>5037</v>
      </c>
      <c r="T932" s="13" t="s">
        <v>5036</v>
      </c>
      <c r="U932" s="13" t="s">
        <v>5037</v>
      </c>
    </row>
    <row r="933" spans="1:21">
      <c r="A933" s="11" t="s">
        <v>5038</v>
      </c>
      <c r="G933" s="11" t="s">
        <v>5039</v>
      </c>
      <c r="H933" s="11">
        <v>11833</v>
      </c>
      <c r="I933" s="11" t="s">
        <v>5040</v>
      </c>
      <c r="J933" s="11" t="s">
        <v>5041</v>
      </c>
      <c r="K933" s="11" t="s">
        <v>740</v>
      </c>
      <c r="L933" s="11" t="s">
        <v>741</v>
      </c>
      <c r="M933" s="11" t="s">
        <v>404</v>
      </c>
      <c r="P933" s="13" t="s">
        <v>5041</v>
      </c>
      <c r="Q933" s="13" t="s">
        <v>5042</v>
      </c>
      <c r="R933" s="13" t="s">
        <v>5043</v>
      </c>
      <c r="T933" s="13" t="s">
        <v>5042</v>
      </c>
      <c r="U933" s="13" t="s">
        <v>5043</v>
      </c>
    </row>
    <row r="934" spans="1:21" ht="13.15" customHeight="1">
      <c r="A934" s="51" t="s">
        <v>5044</v>
      </c>
      <c r="G934" s="54" t="s">
        <v>5045</v>
      </c>
      <c r="H934" s="11">
        <v>584</v>
      </c>
      <c r="I934" s="11" t="s">
        <v>5046</v>
      </c>
      <c r="J934" s="11" t="s">
        <v>5047</v>
      </c>
      <c r="K934" s="11" t="s">
        <v>3153</v>
      </c>
      <c r="L934" s="11" t="s">
        <v>77</v>
      </c>
      <c r="M934" s="11" t="s">
        <v>78</v>
      </c>
      <c r="P934" s="13" t="s">
        <v>5047</v>
      </c>
      <c r="Q934" s="13" t="s">
        <v>5048</v>
      </c>
      <c r="R934" s="13" t="s">
        <v>5049</v>
      </c>
      <c r="T934" s="13" t="s">
        <v>5048</v>
      </c>
      <c r="U934" s="13" t="s">
        <v>5049</v>
      </c>
    </row>
    <row r="935" spans="1:21">
      <c r="A935" s="11" t="s">
        <v>5050</v>
      </c>
      <c r="G935" s="11" t="s">
        <v>5051</v>
      </c>
      <c r="H935" s="11" t="s">
        <v>129</v>
      </c>
      <c r="J935" s="53" t="s">
        <v>5052</v>
      </c>
      <c r="K935" s="11" t="s">
        <v>3652</v>
      </c>
      <c r="L935" s="11" t="s">
        <v>853</v>
      </c>
      <c r="M935" s="11" t="s">
        <v>86</v>
      </c>
      <c r="P935" s="53" t="s">
        <v>5052</v>
      </c>
      <c r="Q935" s="13" t="s">
        <v>5053</v>
      </c>
      <c r="R935" s="13" t="s">
        <v>5054</v>
      </c>
      <c r="T935" s="13" t="s">
        <v>5053</v>
      </c>
      <c r="U935" s="13" t="s">
        <v>5054</v>
      </c>
    </row>
    <row r="936" spans="1:21">
      <c r="A936" s="11" t="s">
        <v>5055</v>
      </c>
      <c r="G936" s="11" t="s">
        <v>5056</v>
      </c>
      <c r="H936" s="11">
        <v>798</v>
      </c>
      <c r="I936" s="11" t="s">
        <v>5057</v>
      </c>
      <c r="J936" s="11" t="s">
        <v>5058</v>
      </c>
      <c r="K936" s="53" t="s">
        <v>5059</v>
      </c>
      <c r="L936" s="53" t="s">
        <v>5060</v>
      </c>
      <c r="M936" s="11" t="s">
        <v>5061</v>
      </c>
      <c r="P936" s="13" t="s">
        <v>5058</v>
      </c>
      <c r="Q936" s="13" t="s">
        <v>5062</v>
      </c>
      <c r="R936" s="13" t="s">
        <v>5063</v>
      </c>
      <c r="T936" s="13" t="s">
        <v>5062</v>
      </c>
      <c r="U936" s="13" t="s">
        <v>5063</v>
      </c>
    </row>
    <row r="937" spans="1:21">
      <c r="A937" t="s">
        <v>5064</v>
      </c>
      <c r="G937" s="11" t="s">
        <v>5065</v>
      </c>
      <c r="H937" s="11">
        <v>184</v>
      </c>
      <c r="I937" s="52" t="s">
        <v>5066</v>
      </c>
      <c r="J937" s="11">
        <v>63180000</v>
      </c>
      <c r="K937" s="11" t="s">
        <v>5067</v>
      </c>
      <c r="L937" s="11" t="s">
        <v>5068</v>
      </c>
      <c r="M937" s="11" t="s">
        <v>354</v>
      </c>
      <c r="P937" s="13" t="s">
        <v>5069</v>
      </c>
      <c r="Q937" s="13" t="s">
        <v>5070</v>
      </c>
      <c r="R937" s="14">
        <v>-393002565490782</v>
      </c>
      <c r="T937" s="13" t="s">
        <v>5070</v>
      </c>
      <c r="U937" s="13" t="s">
        <v>5071</v>
      </c>
    </row>
    <row r="938" spans="1:21">
      <c r="A938" s="54" t="s">
        <v>5072</v>
      </c>
      <c r="G938" s="11" t="s">
        <v>5073</v>
      </c>
      <c r="H938" s="11">
        <v>940</v>
      </c>
      <c r="I938" s="11" t="s">
        <v>5074</v>
      </c>
      <c r="J938" s="11" t="s">
        <v>5075</v>
      </c>
      <c r="K938" s="11" t="s">
        <v>5076</v>
      </c>
      <c r="L938" s="11" t="s">
        <v>2755</v>
      </c>
      <c r="M938" s="11" t="s">
        <v>78</v>
      </c>
      <c r="P938" s="13" t="s">
        <v>5075</v>
      </c>
      <c r="Q938" s="13" t="s">
        <v>5077</v>
      </c>
      <c r="R938" s="14">
        <v>-4707738659997210</v>
      </c>
      <c r="T938" s="13" t="s">
        <v>5077</v>
      </c>
      <c r="U938" s="14">
        <v>-4707738659997210</v>
      </c>
    </row>
    <row r="939" spans="1:21">
      <c r="A939" s="11" t="s">
        <v>5078</v>
      </c>
      <c r="G939" s="11" t="s">
        <v>5079</v>
      </c>
      <c r="H939" s="11">
        <v>3215</v>
      </c>
      <c r="I939" s="11" t="s">
        <v>5080</v>
      </c>
      <c r="J939" s="11" t="s">
        <v>5081</v>
      </c>
      <c r="K939" s="11" t="s">
        <v>5082</v>
      </c>
      <c r="L939" s="11" t="s">
        <v>5083</v>
      </c>
      <c r="M939" s="11" t="s">
        <v>215</v>
      </c>
      <c r="P939" s="13" t="s">
        <v>5081</v>
      </c>
      <c r="Q939" s="13" t="s">
        <v>5084</v>
      </c>
      <c r="R939" s="13" t="s">
        <v>5085</v>
      </c>
      <c r="T939" s="13" t="s">
        <v>5084</v>
      </c>
      <c r="U939" s="13" t="s">
        <v>5085</v>
      </c>
    </row>
    <row r="940" spans="1:21">
      <c r="A940" s="51" t="s">
        <v>5086</v>
      </c>
      <c r="G940" s="54" t="s">
        <v>5087</v>
      </c>
      <c r="H940" s="11">
        <v>425</v>
      </c>
      <c r="I940" s="52" t="s">
        <v>5088</v>
      </c>
      <c r="J940" s="52" t="s">
        <v>5089</v>
      </c>
      <c r="K940" s="11" t="s">
        <v>3439</v>
      </c>
      <c r="L940" s="11" t="s">
        <v>5090</v>
      </c>
      <c r="M940" s="11" t="s">
        <v>68</v>
      </c>
      <c r="P940" s="52" t="s">
        <v>5089</v>
      </c>
      <c r="Q940" s="13" t="s">
        <v>5091</v>
      </c>
      <c r="R940" s="13" t="s">
        <v>5092</v>
      </c>
      <c r="T940" s="13" t="s">
        <v>5091</v>
      </c>
      <c r="U940" s="13" t="s">
        <v>5092</v>
      </c>
    </row>
    <row r="941" spans="1:21">
      <c r="A941" s="51"/>
      <c r="R941" s="13"/>
      <c r="T941" s="13"/>
      <c r="U941" s="13"/>
    </row>
    <row r="942" spans="1:21">
      <c r="A942" s="11" t="s">
        <v>5093</v>
      </c>
      <c r="G942" s="11" t="s">
        <v>5094</v>
      </c>
      <c r="H942" s="11" t="s">
        <v>129</v>
      </c>
      <c r="I942" s="11" t="s">
        <v>5095</v>
      </c>
      <c r="J942" s="11">
        <v>58765000</v>
      </c>
      <c r="K942" s="54" t="s">
        <v>5096</v>
      </c>
      <c r="L942" s="11" t="s">
        <v>5097</v>
      </c>
      <c r="M942" s="11" t="s">
        <v>187</v>
      </c>
      <c r="P942" s="13" t="s">
        <v>5098</v>
      </c>
      <c r="Q942" s="13" t="s">
        <v>5099</v>
      </c>
      <c r="R942" s="13" t="s">
        <v>5100</v>
      </c>
      <c r="T942" s="13" t="s">
        <v>5099</v>
      </c>
      <c r="U942" s="13" t="s">
        <v>5100</v>
      </c>
    </row>
    <row r="943" spans="1:21">
      <c r="A943" s="11" t="s">
        <v>5101</v>
      </c>
      <c r="G943" s="11" t="s">
        <v>5102</v>
      </c>
      <c r="H943" s="11">
        <v>400</v>
      </c>
      <c r="I943" s="11" t="s">
        <v>5103</v>
      </c>
      <c r="J943" s="11" t="s">
        <v>5104</v>
      </c>
      <c r="K943" s="11" t="s">
        <v>5105</v>
      </c>
      <c r="L943" s="11" t="s">
        <v>917</v>
      </c>
      <c r="M943" s="11" t="s">
        <v>918</v>
      </c>
      <c r="P943" s="13" t="s">
        <v>5104</v>
      </c>
      <c r="Q943" s="13" t="s">
        <v>5106</v>
      </c>
      <c r="R943" s="13" t="s">
        <v>5107</v>
      </c>
      <c r="T943" s="13" t="s">
        <v>5106</v>
      </c>
      <c r="U943" s="13" t="s">
        <v>5107</v>
      </c>
    </row>
    <row r="944" spans="1:21">
      <c r="A944" s="54" t="s">
        <v>5108</v>
      </c>
      <c r="G944" s="11" t="s">
        <v>5109</v>
      </c>
      <c r="H944" s="11">
        <v>185</v>
      </c>
      <c r="I944" s="11" t="s">
        <v>5110</v>
      </c>
      <c r="J944" s="11" t="s">
        <v>5111</v>
      </c>
      <c r="K944" s="11" t="s">
        <v>5112</v>
      </c>
      <c r="L944" s="11" t="s">
        <v>5113</v>
      </c>
      <c r="M944" s="11" t="s">
        <v>679</v>
      </c>
      <c r="P944" s="13" t="s">
        <v>5111</v>
      </c>
      <c r="Q944" s="13" t="s">
        <v>5114</v>
      </c>
      <c r="R944" s="13" t="s">
        <v>5115</v>
      </c>
      <c r="T944" s="13" t="s">
        <v>5114</v>
      </c>
      <c r="U944" s="13" t="s">
        <v>5115</v>
      </c>
    </row>
    <row r="945" spans="1:21">
      <c r="A945" s="11" t="s">
        <v>5116</v>
      </c>
      <c r="G945" s="11" t="s">
        <v>5117</v>
      </c>
      <c r="H945" s="11">
        <v>767</v>
      </c>
      <c r="J945" s="11" t="s">
        <v>5118</v>
      </c>
      <c r="K945" s="11" t="s">
        <v>39</v>
      </c>
      <c r="L945" s="11" t="s">
        <v>5119</v>
      </c>
      <c r="M945" s="11" t="s">
        <v>723</v>
      </c>
      <c r="P945" s="13" t="s">
        <v>5118</v>
      </c>
      <c r="Q945" s="13" t="s">
        <v>5120</v>
      </c>
      <c r="R945" s="13" t="s">
        <v>5121</v>
      </c>
      <c r="T945" s="13" t="s">
        <v>5120</v>
      </c>
      <c r="U945" s="13" t="s">
        <v>5121</v>
      </c>
    </row>
    <row r="946" spans="1:21">
      <c r="A946" s="11" t="s">
        <v>5122</v>
      </c>
      <c r="G946" s="11" t="s">
        <v>5123</v>
      </c>
      <c r="H946" s="11">
        <v>682</v>
      </c>
      <c r="I946" s="11" t="s">
        <v>5124</v>
      </c>
      <c r="J946" s="11" t="s">
        <v>5125</v>
      </c>
      <c r="K946" s="11" t="s">
        <v>5126</v>
      </c>
      <c r="L946" s="11" t="s">
        <v>553</v>
      </c>
      <c r="M946" s="11" t="s">
        <v>29</v>
      </c>
      <c r="P946" s="13" t="s">
        <v>5125</v>
      </c>
      <c r="Q946" s="13" t="s">
        <v>5127</v>
      </c>
      <c r="R946" s="13" t="s">
        <v>5128</v>
      </c>
      <c r="T946" s="13" t="s">
        <v>5127</v>
      </c>
      <c r="U946" s="13" t="s">
        <v>5128</v>
      </c>
    </row>
    <row r="947" spans="1:21">
      <c r="A947" s="11" t="s">
        <v>5129</v>
      </c>
      <c r="G947" s="11" t="s">
        <v>5130</v>
      </c>
      <c r="H947" s="11" t="s">
        <v>129</v>
      </c>
      <c r="I947" s="11" t="s">
        <v>5131</v>
      </c>
      <c r="J947" s="11" t="s">
        <v>5132</v>
      </c>
      <c r="K947" s="11" t="s">
        <v>5133</v>
      </c>
      <c r="L947" s="11" t="s">
        <v>5134</v>
      </c>
      <c r="M947" s="11" t="s">
        <v>29</v>
      </c>
      <c r="P947" s="13" t="s">
        <v>5132</v>
      </c>
      <c r="Q947" s="13" t="s">
        <v>5135</v>
      </c>
      <c r="R947" s="14">
        <v>-3494035837790070</v>
      </c>
      <c r="T947" s="13" t="s">
        <v>5135</v>
      </c>
      <c r="U947" s="14">
        <v>-3494035837790070</v>
      </c>
    </row>
    <row r="948" spans="1:21">
      <c r="A948" s="11" t="s">
        <v>5136</v>
      </c>
      <c r="G948" s="11" t="s">
        <v>5137</v>
      </c>
      <c r="H948" s="11">
        <v>2150</v>
      </c>
      <c r="I948" s="11" t="s">
        <v>5138</v>
      </c>
      <c r="J948" s="11" t="s">
        <v>5139</v>
      </c>
      <c r="L948" s="11" t="s">
        <v>5140</v>
      </c>
      <c r="M948" s="11" t="s">
        <v>187</v>
      </c>
      <c r="P948" s="13" t="s">
        <v>5139</v>
      </c>
      <c r="Q948" s="13" t="s">
        <v>5141</v>
      </c>
      <c r="R948" s="14">
        <v>-3.7116759391397904E+16</v>
      </c>
      <c r="T948" s="13" t="s">
        <v>5141</v>
      </c>
      <c r="U948" s="13" t="s">
        <v>5142</v>
      </c>
    </row>
    <row r="949" spans="1:21">
      <c r="A949" s="11" t="s">
        <v>5143</v>
      </c>
      <c r="G949" s="11" t="s">
        <v>5144</v>
      </c>
      <c r="H949" s="11">
        <v>351</v>
      </c>
      <c r="J949" s="11" t="s">
        <v>5145</v>
      </c>
      <c r="K949" s="11" t="s">
        <v>5146</v>
      </c>
      <c r="L949" s="11" t="s">
        <v>5147</v>
      </c>
      <c r="M949" s="11" t="s">
        <v>78</v>
      </c>
      <c r="P949" s="13" t="s">
        <v>5145</v>
      </c>
      <c r="Q949" s="13" t="s">
        <v>5148</v>
      </c>
      <c r="R949" s="13" t="s">
        <v>5149</v>
      </c>
      <c r="T949" s="13" t="s">
        <v>5148</v>
      </c>
      <c r="U949" s="13" t="s">
        <v>5149</v>
      </c>
    </row>
    <row r="950" spans="1:21">
      <c r="A950" s="11" t="s">
        <v>5150</v>
      </c>
      <c r="G950" s="11" t="s">
        <v>5151</v>
      </c>
      <c r="H950" s="11">
        <v>5701</v>
      </c>
      <c r="I950" s="11" t="s">
        <v>3750</v>
      </c>
      <c r="J950" s="11" t="s">
        <v>4274</v>
      </c>
      <c r="K950" s="11" t="s">
        <v>5152</v>
      </c>
      <c r="L950" s="11" t="s">
        <v>5153</v>
      </c>
      <c r="M950" s="11" t="s">
        <v>78</v>
      </c>
      <c r="P950" s="13" t="s">
        <v>4274</v>
      </c>
      <c r="Q950" s="13" t="s">
        <v>5154</v>
      </c>
      <c r="R950" s="13" t="s">
        <v>5155</v>
      </c>
      <c r="T950" s="13" t="s">
        <v>5154</v>
      </c>
      <c r="U950" s="13" t="s">
        <v>5155</v>
      </c>
    </row>
    <row r="951" spans="1:21">
      <c r="A951" s="11" t="s">
        <v>5156</v>
      </c>
      <c r="G951" s="11" t="s">
        <v>5157</v>
      </c>
      <c r="H951" s="11">
        <v>3720</v>
      </c>
      <c r="I951" s="11" t="s">
        <v>5158</v>
      </c>
      <c r="J951" s="11" t="s">
        <v>5159</v>
      </c>
      <c r="K951" s="11" t="s">
        <v>5160</v>
      </c>
      <c r="L951" s="11" t="s">
        <v>343</v>
      </c>
      <c r="M951" s="11" t="s">
        <v>215</v>
      </c>
      <c r="P951" s="13" t="s">
        <v>5159</v>
      </c>
      <c r="Q951" s="13" t="s">
        <v>5161</v>
      </c>
      <c r="R951" s="13" t="s">
        <v>5162</v>
      </c>
      <c r="T951" s="13" t="s">
        <v>5161</v>
      </c>
      <c r="U951" s="13" t="s">
        <v>5162</v>
      </c>
    </row>
    <row r="952" spans="1:21">
      <c r="A952" s="11" t="s">
        <v>5163</v>
      </c>
      <c r="G952" s="11" t="s">
        <v>5164</v>
      </c>
      <c r="H952" s="11">
        <v>65</v>
      </c>
      <c r="I952" s="52"/>
      <c r="J952" s="11" t="s">
        <v>5165</v>
      </c>
      <c r="K952" s="11" t="s">
        <v>5166</v>
      </c>
      <c r="M952" s="11" t="s">
        <v>404</v>
      </c>
      <c r="P952" s="13" t="s">
        <v>5165</v>
      </c>
      <c r="Q952" s="13" t="s">
        <v>5167</v>
      </c>
      <c r="R952" s="13" t="s">
        <v>5168</v>
      </c>
      <c r="T952" s="13" t="s">
        <v>5167</v>
      </c>
      <c r="U952" s="13" t="s">
        <v>5168</v>
      </c>
    </row>
    <row r="953" spans="1:21">
      <c r="A953" s="11" t="s">
        <v>5169</v>
      </c>
      <c r="G953" s="11" t="s">
        <v>5170</v>
      </c>
      <c r="H953" s="11">
        <v>2432</v>
      </c>
      <c r="I953" s="11" t="s">
        <v>5171</v>
      </c>
      <c r="J953" s="11" t="s">
        <v>5172</v>
      </c>
      <c r="K953" s="11" t="s">
        <v>39</v>
      </c>
      <c r="L953" s="11" t="s">
        <v>4265</v>
      </c>
      <c r="M953" s="11" t="s">
        <v>1561</v>
      </c>
      <c r="P953" s="13" t="s">
        <v>5172</v>
      </c>
      <c r="Q953" s="13" t="s">
        <v>5173</v>
      </c>
      <c r="R953" s="13" t="s">
        <v>5174</v>
      </c>
      <c r="S953" s="55"/>
      <c r="T953" s="13" t="s">
        <v>5173</v>
      </c>
      <c r="U953" s="13" t="s">
        <v>5174</v>
      </c>
    </row>
    <row r="954" spans="1:21">
      <c r="A954" s="11" t="s">
        <v>5175</v>
      </c>
      <c r="G954" s="11" t="s">
        <v>5176</v>
      </c>
      <c r="H954" s="11">
        <v>2757</v>
      </c>
      <c r="I954" s="11" t="s">
        <v>3806</v>
      </c>
      <c r="J954" s="11" t="s">
        <v>5177</v>
      </c>
      <c r="K954" s="11" t="s">
        <v>5178</v>
      </c>
      <c r="L954" s="11" t="s">
        <v>390</v>
      </c>
      <c r="M954" s="11" t="s">
        <v>391</v>
      </c>
      <c r="P954" s="13" t="s">
        <v>5177</v>
      </c>
      <c r="Q954" s="13" t="s">
        <v>5179</v>
      </c>
      <c r="R954" s="13" t="s">
        <v>5180</v>
      </c>
      <c r="T954" s="13" t="s">
        <v>5179</v>
      </c>
      <c r="U954" s="13" t="s">
        <v>5180</v>
      </c>
    </row>
    <row r="955" spans="1:21">
      <c r="A955" s="11" t="s">
        <v>5181</v>
      </c>
      <c r="G955" s="11" t="s">
        <v>5182</v>
      </c>
      <c r="H955" s="11">
        <v>751</v>
      </c>
      <c r="J955" s="11" t="s">
        <v>5183</v>
      </c>
      <c r="K955" s="11" t="s">
        <v>4199</v>
      </c>
      <c r="L955" s="11" t="s">
        <v>5184</v>
      </c>
      <c r="M955" s="11" t="s">
        <v>723</v>
      </c>
      <c r="P955" s="13" t="s">
        <v>5183</v>
      </c>
      <c r="Q955" s="13" t="s">
        <v>5185</v>
      </c>
      <c r="R955" s="14">
        <v>-479536853890993</v>
      </c>
      <c r="T955" s="13" t="s">
        <v>5185</v>
      </c>
      <c r="U955" s="13" t="s">
        <v>5186</v>
      </c>
    </row>
    <row r="956" spans="1:21">
      <c r="A956" s="49" t="s">
        <v>5187</v>
      </c>
      <c r="H956" s="11" t="s">
        <v>129</v>
      </c>
      <c r="I956" s="11" t="s">
        <v>5188</v>
      </c>
      <c r="J956" s="11" t="s">
        <v>5189</v>
      </c>
      <c r="K956" s="11" t="s">
        <v>5190</v>
      </c>
      <c r="L956" s="11" t="s">
        <v>2555</v>
      </c>
      <c r="M956" s="11" t="s">
        <v>225</v>
      </c>
      <c r="P956" s="13" t="s">
        <v>5189</v>
      </c>
      <c r="Q956" s="13" t="s">
        <v>5191</v>
      </c>
      <c r="R956" s="13" t="s">
        <v>5192</v>
      </c>
      <c r="T956" s="13" t="s">
        <v>5191</v>
      </c>
      <c r="U956" s="13" t="s">
        <v>5192</v>
      </c>
    </row>
    <row r="957" spans="1:21">
      <c r="A957" s="11" t="s">
        <v>5193</v>
      </c>
      <c r="G957" s="11" t="s">
        <v>5194</v>
      </c>
      <c r="H957" s="11">
        <v>378</v>
      </c>
      <c r="I957" s="11" t="s">
        <v>5195</v>
      </c>
      <c r="J957" s="11" t="s">
        <v>5196</v>
      </c>
      <c r="K957" s="11" t="s">
        <v>5197</v>
      </c>
      <c r="L957" s="11" t="s">
        <v>1064</v>
      </c>
      <c r="M957" s="11" t="s">
        <v>225</v>
      </c>
      <c r="P957" s="13" t="s">
        <v>5196</v>
      </c>
      <c r="Q957" s="13" t="s">
        <v>5198</v>
      </c>
      <c r="R957" s="13" t="s">
        <v>5199</v>
      </c>
      <c r="T957" s="13" t="s">
        <v>5198</v>
      </c>
      <c r="U957" s="13" t="s">
        <v>5199</v>
      </c>
    </row>
    <row r="958" spans="1:21">
      <c r="A958" s="11" t="s">
        <v>5200</v>
      </c>
      <c r="G958" s="11" t="s">
        <v>5201</v>
      </c>
      <c r="H958" s="11">
        <v>1315</v>
      </c>
      <c r="I958" s="11" t="s">
        <v>5202</v>
      </c>
      <c r="J958" s="11" t="s">
        <v>5203</v>
      </c>
      <c r="K958" s="11" t="s">
        <v>5204</v>
      </c>
      <c r="L958" s="11" t="s">
        <v>28</v>
      </c>
      <c r="M958" s="11" t="s">
        <v>29</v>
      </c>
      <c r="P958" s="13" t="s">
        <v>5203</v>
      </c>
      <c r="Q958" s="13" t="s">
        <v>5205</v>
      </c>
      <c r="R958" s="13" t="s">
        <v>5206</v>
      </c>
      <c r="T958" s="13" t="s">
        <v>5205</v>
      </c>
      <c r="U958" s="13" t="s">
        <v>5206</v>
      </c>
    </row>
    <row r="959" spans="1:21">
      <c r="A959" s="11" t="s">
        <v>5207</v>
      </c>
      <c r="G959" s="11" t="s">
        <v>5208</v>
      </c>
      <c r="H959" s="11" t="s">
        <v>129</v>
      </c>
      <c r="I959" s="11" t="s">
        <v>5209</v>
      </c>
      <c r="J959" s="11" t="s">
        <v>5210</v>
      </c>
      <c r="K959" s="11" t="s">
        <v>5211</v>
      </c>
      <c r="L959" s="11" t="s">
        <v>5212</v>
      </c>
      <c r="M959" s="11" t="s">
        <v>147</v>
      </c>
      <c r="P959" s="13" t="s">
        <v>5210</v>
      </c>
      <c r="Q959" s="13" t="s">
        <v>5213</v>
      </c>
      <c r="R959" s="14">
        <v>-361051995622774</v>
      </c>
      <c r="T959" s="13" t="s">
        <v>5213</v>
      </c>
      <c r="U959" s="13" t="s">
        <v>5214</v>
      </c>
    </row>
    <row r="960" spans="1:21">
      <c r="A960" s="11" t="s">
        <v>5215</v>
      </c>
      <c r="G960" s="11" t="s">
        <v>5216</v>
      </c>
      <c r="H960" s="11">
        <v>37</v>
      </c>
      <c r="J960" s="11" t="s">
        <v>5217</v>
      </c>
      <c r="K960" s="11" t="s">
        <v>2802</v>
      </c>
      <c r="L960" s="11" t="s">
        <v>2386</v>
      </c>
      <c r="M960" s="11" t="s">
        <v>918</v>
      </c>
      <c r="P960" s="13" t="s">
        <v>5217</v>
      </c>
      <c r="Q960" s="13" t="s">
        <v>5218</v>
      </c>
      <c r="R960" s="13" t="s">
        <v>5219</v>
      </c>
      <c r="T960" s="13" t="s">
        <v>5218</v>
      </c>
      <c r="U960" s="13" t="s">
        <v>5219</v>
      </c>
    </row>
    <row r="961" spans="1:21">
      <c r="A961" s="11" t="s">
        <v>5220</v>
      </c>
      <c r="G961" s="11" t="s">
        <v>4044</v>
      </c>
      <c r="H961" s="11">
        <v>2251</v>
      </c>
      <c r="I961" s="11" t="s">
        <v>3806</v>
      </c>
      <c r="J961" s="11" t="s">
        <v>5221</v>
      </c>
      <c r="K961" s="11" t="s">
        <v>5222</v>
      </c>
      <c r="L961" s="11" t="s">
        <v>3630</v>
      </c>
      <c r="M961" s="11" t="s">
        <v>68</v>
      </c>
      <c r="P961" s="13" t="s">
        <v>5221</v>
      </c>
      <c r="Q961" s="13" t="s">
        <v>5223</v>
      </c>
      <c r="R961" s="13" t="s">
        <v>5224</v>
      </c>
      <c r="T961" s="13" t="s">
        <v>5223</v>
      </c>
      <c r="U961" s="13" t="s">
        <v>5224</v>
      </c>
    </row>
    <row r="962" spans="1:21">
      <c r="A962" s="11" t="s">
        <v>5225</v>
      </c>
      <c r="G962" s="11" t="s">
        <v>5226</v>
      </c>
      <c r="H962" s="11">
        <v>538</v>
      </c>
      <c r="J962" s="11" t="s">
        <v>5227</v>
      </c>
      <c r="K962" s="11" t="s">
        <v>5228</v>
      </c>
      <c r="L962" s="11" t="s">
        <v>5229</v>
      </c>
      <c r="M962" s="11" t="s">
        <v>391</v>
      </c>
      <c r="P962" s="13" t="s">
        <v>5227</v>
      </c>
      <c r="Q962" s="13" t="s">
        <v>5230</v>
      </c>
      <c r="R962" s="13" t="s">
        <v>5231</v>
      </c>
      <c r="T962" s="13" t="s">
        <v>5230</v>
      </c>
      <c r="U962" s="13" t="s">
        <v>5231</v>
      </c>
    </row>
    <row r="963" spans="1:21">
      <c r="A963" s="11" t="s">
        <v>5232</v>
      </c>
      <c r="G963" s="11" t="s">
        <v>5233</v>
      </c>
      <c r="H963" s="11" t="s">
        <v>5234</v>
      </c>
      <c r="I963" s="11" t="s">
        <v>5235</v>
      </c>
      <c r="J963" s="11" t="s">
        <v>5236</v>
      </c>
      <c r="K963" s="11" t="s">
        <v>948</v>
      </c>
      <c r="L963" s="11" t="s">
        <v>949</v>
      </c>
      <c r="M963" s="11" t="s">
        <v>646</v>
      </c>
      <c r="P963" s="13" t="s">
        <v>5236</v>
      </c>
      <c r="Q963" s="13" t="s">
        <v>5237</v>
      </c>
      <c r="R963" s="13" t="s">
        <v>5238</v>
      </c>
      <c r="T963" s="13" t="s">
        <v>5237</v>
      </c>
      <c r="U963" s="13" t="s">
        <v>5238</v>
      </c>
    </row>
    <row r="964" spans="1:21">
      <c r="A964" s="11" t="s">
        <v>5239</v>
      </c>
      <c r="G964" s="11" t="s">
        <v>5240</v>
      </c>
      <c r="H964" s="11">
        <v>2320</v>
      </c>
      <c r="I964" s="11" t="s">
        <v>5241</v>
      </c>
      <c r="J964" s="11" t="s">
        <v>5242</v>
      </c>
      <c r="K964" s="11" t="s">
        <v>5243</v>
      </c>
      <c r="L964" s="11" t="s">
        <v>5244</v>
      </c>
      <c r="M964" s="11" t="s">
        <v>5061</v>
      </c>
      <c r="P964" s="13" t="s">
        <v>5242</v>
      </c>
      <c r="Q964" s="13" t="s">
        <v>5245</v>
      </c>
      <c r="R964" s="13" t="s">
        <v>5246</v>
      </c>
      <c r="T964" s="13" t="s">
        <v>5245</v>
      </c>
      <c r="U964" s="13" t="s">
        <v>5246</v>
      </c>
    </row>
    <row r="965" spans="1:21">
      <c r="A965" s="11" t="s">
        <v>5247</v>
      </c>
      <c r="G965" s="11" t="s">
        <v>5248</v>
      </c>
      <c r="H965" s="11">
        <v>4240</v>
      </c>
      <c r="I965" s="11" t="s">
        <v>5249</v>
      </c>
      <c r="J965" s="11" t="s">
        <v>5250</v>
      </c>
      <c r="K965" s="11" t="s">
        <v>5251</v>
      </c>
      <c r="L965" s="11" t="s">
        <v>3462</v>
      </c>
      <c r="M965" s="11" t="s">
        <v>1561</v>
      </c>
      <c r="P965" s="13" t="s">
        <v>5250</v>
      </c>
      <c r="Q965" s="13" t="s">
        <v>5252</v>
      </c>
      <c r="R965" s="13" t="s">
        <v>5253</v>
      </c>
      <c r="T965" s="13" t="s">
        <v>5252</v>
      </c>
      <c r="U965" s="13" t="s">
        <v>5253</v>
      </c>
    </row>
    <row r="966" spans="1:21">
      <c r="A966" s="11" t="s">
        <v>5254</v>
      </c>
      <c r="G966" s="11" t="s">
        <v>5255</v>
      </c>
      <c r="H966" s="11" t="s">
        <v>129</v>
      </c>
      <c r="I966" s="11" t="s">
        <v>3634</v>
      </c>
      <c r="J966" s="11" t="s">
        <v>5256</v>
      </c>
      <c r="K966" s="11" t="s">
        <v>2650</v>
      </c>
      <c r="L966" s="11" t="s">
        <v>4265</v>
      </c>
      <c r="M966" s="11" t="s">
        <v>1561</v>
      </c>
      <c r="P966" s="13" t="s">
        <v>5256</v>
      </c>
      <c r="Q966" s="13" t="s">
        <v>5257</v>
      </c>
      <c r="R966" s="13" t="s">
        <v>5258</v>
      </c>
      <c r="T966" s="13" t="s">
        <v>5257</v>
      </c>
      <c r="U966" s="13" t="s">
        <v>5258</v>
      </c>
    </row>
    <row r="967" spans="1:21">
      <c r="A967" s="11" t="s">
        <v>5259</v>
      </c>
      <c r="G967" s="11" t="s">
        <v>5260</v>
      </c>
      <c r="H967" s="11">
        <v>131</v>
      </c>
      <c r="I967" s="11" t="s">
        <v>5261</v>
      </c>
      <c r="J967" s="11">
        <v>79093141</v>
      </c>
      <c r="K967" s="11" t="s">
        <v>5262</v>
      </c>
      <c r="L967" s="11" t="s">
        <v>1198</v>
      </c>
      <c r="M967" s="11" t="s">
        <v>2235</v>
      </c>
      <c r="P967" s="13" t="s">
        <v>5263</v>
      </c>
      <c r="Q967" s="13" t="s">
        <v>5264</v>
      </c>
      <c r="R967" s="13" t="s">
        <v>5265</v>
      </c>
      <c r="T967" s="13" t="s">
        <v>5264</v>
      </c>
      <c r="U967" s="13" t="s">
        <v>5265</v>
      </c>
    </row>
    <row r="968" spans="1:21">
      <c r="A968" s="11" t="s">
        <v>5266</v>
      </c>
      <c r="G968" s="11" t="s">
        <v>5267</v>
      </c>
      <c r="H968" s="11">
        <v>3011</v>
      </c>
      <c r="I968" s="11" t="s">
        <v>5268</v>
      </c>
      <c r="J968" s="11" t="s">
        <v>5269</v>
      </c>
      <c r="K968" s="11" t="s">
        <v>5270</v>
      </c>
      <c r="L968" s="11" t="s">
        <v>390</v>
      </c>
      <c r="M968" s="11" t="s">
        <v>391</v>
      </c>
      <c r="P968" s="13" t="s">
        <v>5269</v>
      </c>
      <c r="Q968" s="13" t="s">
        <v>5271</v>
      </c>
      <c r="R968" s="13" t="s">
        <v>5272</v>
      </c>
      <c r="T968" s="13" t="s">
        <v>5271</v>
      </c>
      <c r="U968" s="13" t="s">
        <v>5272</v>
      </c>
    </row>
    <row r="969" spans="1:21">
      <c r="A969" s="11" t="s">
        <v>5273</v>
      </c>
      <c r="G969" s="11" t="s">
        <v>5274</v>
      </c>
      <c r="H969" s="11">
        <v>477</v>
      </c>
      <c r="I969" s="11" t="s">
        <v>5275</v>
      </c>
      <c r="J969" s="11" t="s">
        <v>5276</v>
      </c>
      <c r="K969" s="11" t="s">
        <v>5277</v>
      </c>
      <c r="L969" s="11" t="s">
        <v>5278</v>
      </c>
      <c r="M969" s="11" t="s">
        <v>404</v>
      </c>
      <c r="P969" s="13" t="s">
        <v>5276</v>
      </c>
      <c r="Q969" s="13" t="s">
        <v>5279</v>
      </c>
      <c r="R969" s="13" t="s">
        <v>5280</v>
      </c>
      <c r="T969" s="13" t="s">
        <v>5279</v>
      </c>
      <c r="U969" s="13" t="s">
        <v>5280</v>
      </c>
    </row>
    <row r="970" spans="1:21">
      <c r="A970" s="56"/>
      <c r="R970" s="13"/>
      <c r="T970" s="13"/>
      <c r="U970" s="13"/>
    </row>
    <row r="971" spans="1:21">
      <c r="A971" s="11" t="s">
        <v>5281</v>
      </c>
      <c r="G971" s="11" t="s">
        <v>5282</v>
      </c>
      <c r="H971" s="11" t="s">
        <v>129</v>
      </c>
      <c r="I971" s="11" t="s">
        <v>5283</v>
      </c>
      <c r="J971" s="11" t="s">
        <v>5284</v>
      </c>
      <c r="K971" s="11" t="s">
        <v>5285</v>
      </c>
      <c r="L971" s="52" t="s">
        <v>5286</v>
      </c>
      <c r="M971" s="11" t="s">
        <v>723</v>
      </c>
      <c r="P971" s="13" t="s">
        <v>5284</v>
      </c>
      <c r="Q971" s="13" t="s">
        <v>5287</v>
      </c>
      <c r="R971" s="14">
        <v>-479876418468206</v>
      </c>
      <c r="T971" s="13" t="s">
        <v>5287</v>
      </c>
      <c r="U971" s="13" t="s">
        <v>5288</v>
      </c>
    </row>
    <row r="972" spans="1:21">
      <c r="A972" s="11" t="s">
        <v>5289</v>
      </c>
      <c r="G972" s="11" t="s">
        <v>5290</v>
      </c>
      <c r="H972" s="11">
        <v>100</v>
      </c>
      <c r="I972" s="11" t="s">
        <v>5291</v>
      </c>
      <c r="J972" s="11" t="s">
        <v>5292</v>
      </c>
      <c r="K972" s="11" t="s">
        <v>5293</v>
      </c>
      <c r="L972" s="11" t="s">
        <v>5294</v>
      </c>
      <c r="M972" s="11" t="s">
        <v>723</v>
      </c>
      <c r="P972" s="13" t="s">
        <v>5292</v>
      </c>
      <c r="Q972" s="13" t="s">
        <v>5295</v>
      </c>
      <c r="R972" s="13" t="s">
        <v>5296</v>
      </c>
      <c r="T972" s="13" t="s">
        <v>5295</v>
      </c>
      <c r="U972" s="13" t="s">
        <v>5296</v>
      </c>
    </row>
    <row r="973" spans="1:21">
      <c r="A973" s="57" t="s">
        <v>5297</v>
      </c>
      <c r="G973" s="11" t="s">
        <v>5298</v>
      </c>
      <c r="H973" s="11">
        <v>789</v>
      </c>
      <c r="I973" s="11" t="s">
        <v>5299</v>
      </c>
      <c r="J973" s="11" t="s">
        <v>5300</v>
      </c>
      <c r="K973" s="11" t="s">
        <v>5301</v>
      </c>
      <c r="L973" s="11" t="s">
        <v>5302</v>
      </c>
      <c r="M973" s="11" t="s">
        <v>1561</v>
      </c>
      <c r="P973" s="13" t="s">
        <v>5300</v>
      </c>
      <c r="Q973" s="13" t="s">
        <v>5303</v>
      </c>
      <c r="R973" s="13" t="s">
        <v>5304</v>
      </c>
      <c r="T973" s="13" t="s">
        <v>5303</v>
      </c>
      <c r="U973" s="13" t="s">
        <v>5304</v>
      </c>
    </row>
    <row r="974" spans="1:21">
      <c r="A974" s="11" t="s">
        <v>5305</v>
      </c>
      <c r="G974" s="11" t="s">
        <v>5306</v>
      </c>
      <c r="H974" s="11">
        <v>39</v>
      </c>
      <c r="J974" s="11">
        <v>39935000</v>
      </c>
      <c r="K974" s="11" t="s">
        <v>39</v>
      </c>
      <c r="L974" s="11" t="s">
        <v>5307</v>
      </c>
      <c r="M974" s="11" t="s">
        <v>404</v>
      </c>
      <c r="P974" s="13" t="s">
        <v>5308</v>
      </c>
      <c r="Q974" s="13" t="s">
        <v>5309</v>
      </c>
      <c r="R974" s="13" t="s">
        <v>5310</v>
      </c>
      <c r="T974" s="13" t="s">
        <v>5309</v>
      </c>
      <c r="U974" s="13" t="s">
        <v>5310</v>
      </c>
    </row>
    <row r="975" spans="1:21">
      <c r="A975" s="11" t="s">
        <v>5311</v>
      </c>
      <c r="G975" s="11" t="s">
        <v>5312</v>
      </c>
      <c r="H975" s="11">
        <v>500</v>
      </c>
      <c r="I975" s="11" t="s">
        <v>5313</v>
      </c>
      <c r="J975" s="11" t="s">
        <v>5314</v>
      </c>
      <c r="K975" s="11" t="s">
        <v>3561</v>
      </c>
      <c r="L975" s="11" t="s">
        <v>5315</v>
      </c>
      <c r="M975" s="11" t="s">
        <v>29</v>
      </c>
      <c r="P975" s="13" t="s">
        <v>5314</v>
      </c>
    </row>
    <row r="976" spans="1:21">
      <c r="A976" s="11" t="s">
        <v>5316</v>
      </c>
      <c r="G976" s="11" t="s">
        <v>5317</v>
      </c>
      <c r="H976" s="11">
        <v>570</v>
      </c>
      <c r="I976" s="11" t="s">
        <v>5318</v>
      </c>
      <c r="J976" s="11" t="s">
        <v>5319</v>
      </c>
      <c r="K976" s="11" t="s">
        <v>5320</v>
      </c>
      <c r="L976" s="11" t="s">
        <v>48</v>
      </c>
      <c r="M976" s="11" t="s">
        <v>49</v>
      </c>
      <c r="P976" s="13" t="s">
        <v>5319</v>
      </c>
    </row>
    <row r="977" spans="1:21">
      <c r="A977" s="11" t="s">
        <v>5321</v>
      </c>
      <c r="G977" s="11" t="s">
        <v>5322</v>
      </c>
      <c r="H977" s="11">
        <v>168</v>
      </c>
      <c r="I977" s="11" t="s">
        <v>39</v>
      </c>
      <c r="J977" s="11" t="s">
        <v>5323</v>
      </c>
      <c r="K977" s="11" t="s">
        <v>39</v>
      </c>
      <c r="L977" s="11" t="s">
        <v>5324</v>
      </c>
      <c r="M977" s="11" t="s">
        <v>147</v>
      </c>
      <c r="P977" s="13" t="s">
        <v>5323</v>
      </c>
      <c r="Q977" s="13" t="s">
        <v>5325</v>
      </c>
      <c r="R977" s="13" t="s">
        <v>5326</v>
      </c>
      <c r="T977" s="13" t="s">
        <v>5325</v>
      </c>
      <c r="U977" s="13" t="s">
        <v>5326</v>
      </c>
    </row>
    <row r="978" spans="1:21">
      <c r="A978" s="11" t="s">
        <v>5327</v>
      </c>
      <c r="G978" s="11" t="s">
        <v>4190</v>
      </c>
      <c r="H978" s="11" t="s">
        <v>129</v>
      </c>
      <c r="I978" s="11" t="s">
        <v>5328</v>
      </c>
      <c r="J978" s="11" t="s">
        <v>5329</v>
      </c>
      <c r="K978" s="11" t="s">
        <v>5330</v>
      </c>
      <c r="L978" s="11" t="s">
        <v>5331</v>
      </c>
      <c r="M978" s="11" t="s">
        <v>281</v>
      </c>
      <c r="P978" s="13" t="s">
        <v>5329</v>
      </c>
      <c r="Q978" s="13" t="s">
        <v>5332</v>
      </c>
      <c r="R978" s="13" t="s">
        <v>5333</v>
      </c>
      <c r="T978" s="13"/>
      <c r="U978" s="13"/>
    </row>
    <row r="979" spans="1:21">
      <c r="A979" s="11" t="s">
        <v>5334</v>
      </c>
      <c r="G979" s="11" t="s">
        <v>5335</v>
      </c>
      <c r="H979" s="11">
        <v>168</v>
      </c>
      <c r="I979" s="57" t="s">
        <v>5336</v>
      </c>
      <c r="J979" s="11">
        <v>58540000</v>
      </c>
      <c r="K979" s="11" t="s">
        <v>39</v>
      </c>
      <c r="L979" s="11" t="s">
        <v>5337</v>
      </c>
      <c r="M979" s="11" t="s">
        <v>29</v>
      </c>
      <c r="P979" s="13" t="s">
        <v>5338</v>
      </c>
      <c r="Q979" s="13" t="s">
        <v>5339</v>
      </c>
      <c r="R979" s="13" t="s">
        <v>5340</v>
      </c>
      <c r="T979" s="13" t="s">
        <v>5332</v>
      </c>
      <c r="U979" s="13" t="s">
        <v>5333</v>
      </c>
    </row>
    <row r="980" spans="1:21">
      <c r="A980" s="11" t="s">
        <v>5341</v>
      </c>
      <c r="G980" s="11" t="s">
        <v>5342</v>
      </c>
      <c r="H980" s="11">
        <v>3100</v>
      </c>
      <c r="I980" s="11" t="s">
        <v>3634</v>
      </c>
      <c r="J980" s="11" t="s">
        <v>5343</v>
      </c>
      <c r="K980" s="11" t="s">
        <v>5344</v>
      </c>
      <c r="L980" s="11" t="s">
        <v>2755</v>
      </c>
      <c r="M980" s="11" t="s">
        <v>78</v>
      </c>
      <c r="P980" s="13" t="s">
        <v>5343</v>
      </c>
      <c r="Q980" s="13" t="s">
        <v>5345</v>
      </c>
      <c r="R980" s="13" t="s">
        <v>5346</v>
      </c>
      <c r="T980" s="13" t="s">
        <v>5339</v>
      </c>
      <c r="U980" s="13" t="s">
        <v>5340</v>
      </c>
    </row>
    <row r="981" spans="1:21">
      <c r="A981" s="11" t="s">
        <v>5347</v>
      </c>
      <c r="G981" s="11" t="s">
        <v>5348</v>
      </c>
      <c r="H981" s="11" t="s">
        <v>129</v>
      </c>
      <c r="I981" s="11" t="s">
        <v>5349</v>
      </c>
      <c r="J981" s="11" t="s">
        <v>5350</v>
      </c>
      <c r="K981" s="11" t="s">
        <v>5351</v>
      </c>
      <c r="L981" s="11" t="s">
        <v>748</v>
      </c>
      <c r="M981" s="11" t="s">
        <v>749</v>
      </c>
      <c r="P981" s="13" t="s">
        <v>5350</v>
      </c>
      <c r="Q981" s="13" t="s">
        <v>5352</v>
      </c>
      <c r="R981" s="13" t="s">
        <v>5353</v>
      </c>
      <c r="S981" s="55"/>
      <c r="T981" s="13" t="s">
        <v>5345</v>
      </c>
      <c r="U981" s="13" t="s">
        <v>5346</v>
      </c>
    </row>
    <row r="982" spans="1:21">
      <c r="A982" s="11" t="s">
        <v>5354</v>
      </c>
      <c r="G982" s="11" t="s">
        <v>5355</v>
      </c>
      <c r="H982" s="11">
        <v>800</v>
      </c>
      <c r="I982" s="11" t="s">
        <v>5356</v>
      </c>
      <c r="J982" s="11" t="s">
        <v>5357</v>
      </c>
      <c r="K982" s="11" t="s">
        <v>1206</v>
      </c>
      <c r="L982" s="11" t="s">
        <v>77</v>
      </c>
      <c r="M982" s="11" t="s">
        <v>78</v>
      </c>
      <c r="P982" s="13" t="s">
        <v>5357</v>
      </c>
      <c r="Q982" s="13" t="s">
        <v>5358</v>
      </c>
      <c r="R982" s="13" t="s">
        <v>5359</v>
      </c>
      <c r="S982" s="55"/>
      <c r="T982" s="13" t="s">
        <v>5352</v>
      </c>
      <c r="U982" s="13" t="s">
        <v>5353</v>
      </c>
    </row>
    <row r="983" spans="1:21">
      <c r="A983" s="11" t="s">
        <v>5360</v>
      </c>
      <c r="G983" s="11" t="s">
        <v>5361</v>
      </c>
      <c r="H983" s="11" t="s">
        <v>5362</v>
      </c>
      <c r="I983" s="11" t="s">
        <v>5363</v>
      </c>
      <c r="J983" s="11" t="s">
        <v>5364</v>
      </c>
      <c r="K983" s="11" t="s">
        <v>5365</v>
      </c>
      <c r="L983" s="11" t="s">
        <v>3630</v>
      </c>
      <c r="M983" s="11" t="s">
        <v>68</v>
      </c>
      <c r="P983" s="13" t="s">
        <v>5364</v>
      </c>
      <c r="Q983" s="13" t="s">
        <v>5366</v>
      </c>
      <c r="R983" s="13" t="s">
        <v>5367</v>
      </c>
      <c r="S983" s="55"/>
      <c r="T983" s="13" t="s">
        <v>5358</v>
      </c>
      <c r="U983" s="13" t="s">
        <v>5359</v>
      </c>
    </row>
    <row r="984" spans="1:21">
      <c r="A984" s="11" t="s">
        <v>5368</v>
      </c>
      <c r="G984" s="11" t="s">
        <v>5369</v>
      </c>
      <c r="H984" s="11">
        <v>100</v>
      </c>
      <c r="I984" s="11" t="s">
        <v>5370</v>
      </c>
      <c r="J984" s="11" t="s">
        <v>5371</v>
      </c>
      <c r="K984" s="11" t="s">
        <v>3416</v>
      </c>
      <c r="L984" s="11" t="s">
        <v>368</v>
      </c>
      <c r="M984" s="11" t="s">
        <v>281</v>
      </c>
      <c r="P984" s="13" t="s">
        <v>5371</v>
      </c>
      <c r="Q984" s="13" t="s">
        <v>5372</v>
      </c>
      <c r="R984" s="13" t="s">
        <v>5373</v>
      </c>
      <c r="S984" s="55"/>
      <c r="T984" s="13" t="s">
        <v>5366</v>
      </c>
      <c r="U984" s="13" t="s">
        <v>5367</v>
      </c>
    </row>
    <row r="985" spans="1:21">
      <c r="A985" s="11" t="s">
        <v>5374</v>
      </c>
      <c r="G985" s="11" t="s">
        <v>5375</v>
      </c>
      <c r="H985" s="11">
        <v>382</v>
      </c>
      <c r="I985" s="11" t="s">
        <v>5376</v>
      </c>
      <c r="J985" s="11" t="s">
        <v>5377</v>
      </c>
      <c r="K985" s="11" t="s">
        <v>5378</v>
      </c>
      <c r="L985" s="11" t="s">
        <v>755</v>
      </c>
      <c r="M985" s="11" t="s">
        <v>86</v>
      </c>
      <c r="P985" s="13" t="s">
        <v>5377</v>
      </c>
      <c r="Q985" s="13" t="s">
        <v>5379</v>
      </c>
      <c r="R985" s="13" t="s">
        <v>5380</v>
      </c>
      <c r="S985" s="55"/>
      <c r="T985" s="13" t="s">
        <v>5372</v>
      </c>
      <c r="U985" s="13" t="s">
        <v>5373</v>
      </c>
    </row>
    <row r="986" spans="1:21">
      <c r="A986" s="11" t="s">
        <v>5381</v>
      </c>
      <c r="G986" s="11" t="s">
        <v>5382</v>
      </c>
      <c r="H986" s="11">
        <v>1062</v>
      </c>
      <c r="I986" s="11" t="s">
        <v>5383</v>
      </c>
      <c r="J986" s="11" t="s">
        <v>5384</v>
      </c>
      <c r="K986" s="11" t="s">
        <v>5385</v>
      </c>
      <c r="L986" s="11" t="s">
        <v>5385</v>
      </c>
      <c r="M986" s="11" t="s">
        <v>354</v>
      </c>
      <c r="P986" s="13" t="s">
        <v>5384</v>
      </c>
      <c r="Q986" s="13" t="s">
        <v>5386</v>
      </c>
      <c r="R986" s="13" t="s">
        <v>5387</v>
      </c>
      <c r="S986" s="55"/>
      <c r="T986" s="13" t="s">
        <v>5379</v>
      </c>
      <c r="U986" s="13" t="s">
        <v>5380</v>
      </c>
    </row>
    <row r="987" spans="1:21">
      <c r="A987" s="11" t="s">
        <v>5388</v>
      </c>
      <c r="G987" s="11" t="s">
        <v>5389</v>
      </c>
      <c r="H987" s="11">
        <v>171</v>
      </c>
      <c r="I987" s="11" t="s">
        <v>5390</v>
      </c>
      <c r="J987" s="11" t="s">
        <v>5391</v>
      </c>
      <c r="K987" s="11" t="s">
        <v>5392</v>
      </c>
      <c r="L987" s="11" t="s">
        <v>788</v>
      </c>
      <c r="M987" s="11" t="s">
        <v>86</v>
      </c>
      <c r="P987" s="13" t="s">
        <v>5391</v>
      </c>
      <c r="Q987" s="13" t="s">
        <v>5393</v>
      </c>
      <c r="R987" s="13" t="s">
        <v>5394</v>
      </c>
      <c r="S987" s="55"/>
      <c r="T987" s="13" t="s">
        <v>5386</v>
      </c>
      <c r="U987" s="13" t="s">
        <v>5387</v>
      </c>
    </row>
    <row r="988" spans="1:21">
      <c r="A988" s="11" t="s">
        <v>5395</v>
      </c>
      <c r="G988" s="11" t="s">
        <v>5396</v>
      </c>
      <c r="H988" s="11" t="s">
        <v>129</v>
      </c>
      <c r="I988" s="11" t="s">
        <v>5397</v>
      </c>
      <c r="J988" s="11" t="s">
        <v>5398</v>
      </c>
      <c r="K988" s="11" t="s">
        <v>582</v>
      </c>
      <c r="L988" s="11" t="s">
        <v>583</v>
      </c>
      <c r="M988" s="11" t="s">
        <v>225</v>
      </c>
      <c r="P988" s="13" t="s">
        <v>5398</v>
      </c>
      <c r="Q988" s="13" t="s">
        <v>5399</v>
      </c>
      <c r="R988" s="13" t="s">
        <v>5400</v>
      </c>
      <c r="S988" s="55"/>
      <c r="T988" s="13" t="s">
        <v>5393</v>
      </c>
      <c r="U988" s="13" t="s">
        <v>5394</v>
      </c>
    </row>
    <row r="989" spans="1:21">
      <c r="A989" s="11" t="s">
        <v>5401</v>
      </c>
      <c r="G989" s="11" t="s">
        <v>5402</v>
      </c>
      <c r="H989" s="11">
        <v>201</v>
      </c>
      <c r="I989" s="11" t="s">
        <v>5403</v>
      </c>
      <c r="J989" s="11" t="s">
        <v>5404</v>
      </c>
      <c r="K989" s="11" t="s">
        <v>39</v>
      </c>
      <c r="L989" s="11" t="s">
        <v>5405</v>
      </c>
      <c r="M989" s="11" t="s">
        <v>187</v>
      </c>
      <c r="P989" s="13" t="s">
        <v>5404</v>
      </c>
      <c r="Q989" s="13" t="s">
        <v>5406</v>
      </c>
      <c r="R989" s="14">
        <v>-3850246470463310</v>
      </c>
      <c r="S989" s="55"/>
      <c r="T989" s="13" t="s">
        <v>5406</v>
      </c>
      <c r="U989" s="13" t="s">
        <v>5407</v>
      </c>
    </row>
    <row r="990" spans="1:21">
      <c r="A990" s="11" t="s">
        <v>5408</v>
      </c>
      <c r="G990" s="11" t="s">
        <v>3756</v>
      </c>
      <c r="H990" s="11">
        <v>989</v>
      </c>
      <c r="I990" s="11" t="s">
        <v>5409</v>
      </c>
      <c r="J990" s="11" t="s">
        <v>5410</v>
      </c>
      <c r="K990" s="11" t="s">
        <v>39</v>
      </c>
      <c r="L990" s="11" t="s">
        <v>5411</v>
      </c>
      <c r="M990" s="11" t="s">
        <v>646</v>
      </c>
      <c r="P990" s="13" t="s">
        <v>5410</v>
      </c>
      <c r="Q990" s="13" t="s">
        <v>5412</v>
      </c>
      <c r="R990" s="13" t="s">
        <v>5413</v>
      </c>
      <c r="S990" s="55"/>
      <c r="T990" s="13" t="s">
        <v>5412</v>
      </c>
      <c r="U990" s="13" t="s">
        <v>5413</v>
      </c>
    </row>
    <row r="991" spans="1:21">
      <c r="A991" s="11" t="s">
        <v>5414</v>
      </c>
      <c r="G991" s="11" t="s">
        <v>5415</v>
      </c>
      <c r="H991" s="11">
        <v>297</v>
      </c>
      <c r="I991" s="11" t="s">
        <v>5416</v>
      </c>
      <c r="J991" s="11" t="s">
        <v>5417</v>
      </c>
      <c r="K991" s="11" t="s">
        <v>39</v>
      </c>
      <c r="L991" s="11" t="s">
        <v>5418</v>
      </c>
      <c r="M991" s="11" t="s">
        <v>354</v>
      </c>
      <c r="P991" s="13" t="s">
        <v>5417</v>
      </c>
      <c r="Q991" s="13" t="s">
        <v>5419</v>
      </c>
      <c r="R991" s="13" t="s">
        <v>5420</v>
      </c>
      <c r="S991" s="55"/>
      <c r="T991" s="13" t="s">
        <v>5419</v>
      </c>
      <c r="U991" s="13" t="s">
        <v>5420</v>
      </c>
    </row>
    <row r="992" spans="1:21">
      <c r="A992" s="11" t="s">
        <v>5421</v>
      </c>
      <c r="G992" s="11" t="s">
        <v>5422</v>
      </c>
      <c r="H992" s="11">
        <v>2600</v>
      </c>
      <c r="I992" s="11" t="s">
        <v>5423</v>
      </c>
      <c r="J992" s="11" t="s">
        <v>4645</v>
      </c>
      <c r="L992" s="11" t="s">
        <v>5424</v>
      </c>
      <c r="M992" s="11" t="s">
        <v>86</v>
      </c>
      <c r="P992" s="13" t="s">
        <v>4645</v>
      </c>
      <c r="Q992" s="13" t="s">
        <v>5425</v>
      </c>
      <c r="R992" s="13" t="s">
        <v>5426</v>
      </c>
      <c r="S992" s="55"/>
      <c r="T992" s="13" t="s">
        <v>5425</v>
      </c>
      <c r="U992" s="13" t="s">
        <v>5426</v>
      </c>
    </row>
    <row r="993" spans="1:21">
      <c r="A993" s="11" t="s">
        <v>5427</v>
      </c>
      <c r="G993" s="11" t="s">
        <v>5428</v>
      </c>
      <c r="H993" s="11">
        <v>2501</v>
      </c>
      <c r="I993" s="11" t="s">
        <v>5429</v>
      </c>
      <c r="J993" s="11" t="s">
        <v>5430</v>
      </c>
      <c r="K993" s="11" t="s">
        <v>5431</v>
      </c>
      <c r="L993" s="11" t="s">
        <v>77</v>
      </c>
      <c r="M993" s="11" t="s">
        <v>78</v>
      </c>
      <c r="P993" s="13" t="s">
        <v>5430</v>
      </c>
      <c r="Q993" s="13" t="s">
        <v>5432</v>
      </c>
      <c r="R993" s="13" t="s">
        <v>5433</v>
      </c>
      <c r="T993" s="13" t="s">
        <v>5432</v>
      </c>
      <c r="U993" s="13" t="s">
        <v>5433</v>
      </c>
    </row>
  </sheetData>
  <autoFilter ref="A1:U614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2025-05-03T19:17:26Z</dcterms:created>
  <dcterms:modified xsi:type="dcterms:W3CDTF">2026-09-21T18:41:04Z</dcterms:modified>
  <cp:category/>
  <cp:contentStatus/>
</cp:coreProperties>
</file>